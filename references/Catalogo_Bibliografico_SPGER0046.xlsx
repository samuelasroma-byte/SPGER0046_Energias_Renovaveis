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01d0c08a04b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6552063d6c604bb6"/>
    <x:sheet xmlns:r="http://schemas.openxmlformats.org/officeDocument/2006/relationships" name="Indicadas" sheetId="2" r:id="R338c79eecf8148d8"/>
    <x:sheet xmlns:r="http://schemas.openxmlformats.org/officeDocument/2006/relationships" name="Acervo" sheetId="3" r:id="Rdc45356deab44c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4"/>
      <x:color rgb="FFF9FAFB"/>
      <x:name val="Arial"/>
    </x:font>
    <x:font>
      <x:b/>
      <x:sz val="14"/>
      <x:color rgb="FFFFFFFF"/>
      <x:name val="Arial"/>
    </x:font>
    <x:font>
      <x:b/>
      <x:sz val="20"/>
      <x:color rgb="FFFFFFFF"/>
      <x:name val="Arial"/>
    </x:font>
    <x:font>
      <x:sz val="14"/>
      <x:color rgb="FFD1D5DB"/>
      <x:name val="Arial"/>
    </x:font>
    <x:font>
      <x:sz val="14"/>
      <x:color rgb="FFFFDC80"/>
      <x:name val="Arial"/>
    </x:font>
    <x:font>
      <x:b/>
      <x:sz val="14"/>
      <x:color rgb="FFFFDC8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111827"/>
      </x:patternFill>
    </x:fill>
    <x:fill>
      <x:patternFill patternType="solid">
        <x:fgColor rgb="FF11182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3" fillId="4" borderId="0" xfId="0" applyNumberFormat="1" applyFont="1" applyFill="1" applyBorder="1" applyAlignment="1">
      <x:alignment vertical="center" wrapText="0"/>
    </x:xf>
    <x:xf numFmtId="0" fontId="1" fillId="4" borderId="0" xfId="0" applyNumberFormat="1" applyFont="1" applyFill="1" applyBorder="1" applyAlignment="1">
      <x:alignment vertical="center" wrapText="0"/>
    </x:xf>
    <x:xf numFmtId="0" fontId="4" fillId="4" borderId="0" xfId="0" applyNumberFormat="1" applyFont="1" applyFill="1" applyBorder="1" applyAlignment="1">
      <x:alignment vertical="center" wrapText="0"/>
    </x:xf>
    <x:xf numFmtId="0" fontId="3" fillId="5" borderId="0" xfId="0" applyNumberFormat="1" applyFont="1" applyFill="1" applyBorder="1" applyAlignment="1">
      <x:alignment vertical="center" wrapText="0"/>
    </x:xf>
    <x:xf numFmtId="0" fontId="1" fillId="5" borderId="0" xfId="0" applyNumberFormat="1" applyFont="1" applyFill="1" applyBorder="1" applyAlignment="1">
      <x:alignment vertical="center" wrapText="0"/>
    </x:xf>
    <x:xf numFmtId="0" fontId="4" fillId="5" borderId="0" xfId="0" applyNumberFormat="1" applyFont="1" applyFill="1" applyBorder="1" applyAlignment="1">
      <x:alignment vertical="center" wrapText="0"/>
    </x:xf>
    <x:xf numFmtId="0" fontId="5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FFFFFF"/>
      </x:font>
      <x:fill>
        <x:patternFill>
          <x:bgColor rgb="FF7F1D1D"/>
        </x:patternFill>
      </x:fill>
    </x:dxf>
    <x:dxf>
      <x:font>
        <x:b/>
        <x:color rgb="FFFFFFFF"/>
      </x:font>
      <x:fill>
        <x:patternFill>
          <x:bgColor rgb="FF713F1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23ce186cb645ee" /><Relationship Type="http://schemas.openxmlformats.org/officeDocument/2006/relationships/theme" Target="/xl/theme/theme1.xml" Id="Rea046293ad814d91" /><Relationship Type="http://schemas.openxmlformats.org/officeDocument/2006/relationships/sharedStrings" Target="/xl/sharedStrings.xml" Id="R87d1bd8d35374ff5" /><Relationship Type="http://schemas.openxmlformats.org/officeDocument/2006/relationships/worksheet" Target="/xl/worksheets/sheet1.xml" Id="R6552063d6c604bb6" /><Relationship Type="http://schemas.openxmlformats.org/officeDocument/2006/relationships/worksheet" Target="/xl/worksheets/sheet2.xml" Id="R338c79eecf8148d8" /><Relationship Type="http://schemas.openxmlformats.org/officeDocument/2006/relationships/worksheet" Target="/xl/worksheets/sheet3.xml" Id="Rdc45356deab44caa" /></Relationships>
</file>

<file path=xl/tables/table1.xml><?xml version="1.0" encoding="utf-8"?>
<x:table xmlns:x="http://schemas.openxmlformats.org/spreadsheetml/2006/main" id="2" name="IndicadasTable" displayName="IndicadasTable" ref="A4:K44" headerRowCount="1" totalsRowCount="0" totalsRowShown="0">
  <x:autoFilter ref="A4:K44"/>
  <x:tableColumns count="11">
    <x:tableColumn id="1" name="Código"/>
    <x:tableColumn id="2" name="Tipo indicado"/>
    <x:tableColumn id="3" name="Situação"/>
    <x:tableColumn id="4" name="Seções"/>
    <x:tableColumn id="5" name="Subseções"/>
    <x:tableColumn id="6" name="Referência indicada"/>
    <x:tableColumn id="7" name="DOI"/>
    <x:tableColumn id="8" name="Acesso"/>
    <x:tableColumn id="9" name="Obra disponível"/>
    <x:tableColumn id="10" name="Próxima ação"/>
    <x:tableColumn id="11" name="Origem da indicação"/>
  </x:tableColumns>
  <x:tableStyleInfo name="TableStyleDark11" showFirstColumn="0" showLastColumn="0" showRowStripes="1" showColumnStripes="0"/>
</x:table>
</file>

<file path=xl/tables/table2.xml><?xml version="1.0" encoding="utf-8"?>
<x:table xmlns:x="http://schemas.openxmlformats.org/spreadsheetml/2006/main" id="3" name="AcervoTable" displayName="AcervoTable" ref="A4:T95" headerRowCount="1" totalsRowCount="0" totalsRowShown="0">
  <x:autoFilter ref="A4:T95"/>
  <x:tableColumns count="20">
    <x:tableColumn id="1" name="Código"/>
    <x:tableColumn id="2" name="Obra"/>
    <x:tableColumn id="3" name="Autoria"/>
    <x:tableColumn id="4" name="Ano"/>
    <x:tableColumn id="5" name="Seções"/>
    <x:tableColumn id="6" name="Subseções"/>
    <x:tableColumn id="7" name="Tipo"/>
    <x:tableColumn id="8" name="Códigos B"/>
    <x:tableColumn id="9" name="DOI"/>
    <x:tableColumn id="10" name="Nome original"/>
    <x:tableColumn id="11" name="Original no Drive"/>
    <x:tableColumn id="12" name="Cópia seção 1"/>
    <x:tableColumn id="13" name="Cópia seção 2"/>
    <x:tableColumn id="14" name="Cópia seção 3"/>
    <x:tableColumn id="15" name="Cópia seção 4"/>
    <x:tableColumn id="16" name="Observações"/>
    <x:tableColumn id="17" name="Pertence à seção 1"/>
    <x:tableColumn id="18" name="Pertence à seção 2"/>
    <x:tableColumn id="19" name="Pertence à seção 3"/>
    <x:tableColumn id="20" name="Pertence à seção 4"/>
  </x:tableColumns>
  <x:tableStyleInfo name="TableStyleDark1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94c765c0804a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d8e775cb174639" /></Relationships>
</file>

<file path=xl/worksheets/sheet1.xml><?xml version="1.0" encoding="utf-8"?>
<x:worksheet xmlns:x="http://schemas.openxmlformats.org/spreadsheetml/2006/main">
  <x:sheetPr>
    <x:tabColor rgb="FF111827"/>
  </x:sheetPr>
  <x:sheetViews>
    <x:sheetView showGridLines="0" workbookViewId="0"/>
  </x:sheetViews>
  <x:sheetFormatPr defaultRowHeight="15"/>
  <x:cols>
    <x:col min="1" max="1" width="12" hidden="0" customWidth="1"/>
    <x:col min="2" max="2" width="72" hidden="0" customWidth="1"/>
    <x:col min="3" max="3" width="43" hidden="0" customWidth="1"/>
    <x:col min="4" max="4" width="27" hidden="0" customWidth="1"/>
    <x:col min="5" max="5" width="70" hidden="0" customWidth="1"/>
  </x:cols>
  <x:sheetData>
    <x:row r="2" ht="34" customHeight="1">
      <x:c r="A2" s="4"/>
      <x:c r="B2" s="8" t="str">
        <x:v>Bibliografia do capítulo fotovoltaico</x:v>
      </x:c>
      <x:c r="C2" s="4"/>
      <x:c r="D2" s="4"/>
      <x:c r="E2" s="4"/>
    </x:row>
    <x:row r="3" ht="34" customHeight="1">
      <x:c r="A3" s="4"/>
      <x:c r="B3" s="4" t="str">
        <x:v>Atualização em 18/10/2026</x:v>
      </x:c>
      <x:c r="C3" s="4"/>
      <x:c r="D3" s="4"/>
      <x:c r="E3" s="4"/>
    </x:row>
    <x:row r="4" ht="48" customHeight="1">
      <x:c r="A4" s="6" t="str">
        <x:v>Seção</x:v>
      </x:c>
      <x:c r="B4" s="6" t="str">
        <x:v>Tema</x:v>
      </x:c>
      <x:c r="C4" s="6" t="str">
        <x:v>Responsáveis</x:v>
      </x:c>
      <x:c r="D4" s="6" t="str">
        <x:v>PDFs na seção</x:v>
      </x:c>
      <x:c r="E4" s="6" t="str">
        <x:v>Pasta</x:v>
      </x:c>
    </x:row>
    <x:row r="5" ht="70" customHeight="1">
      <x:c r="A5" s="4" t="n">
        <x:v>1</x:v>
      </x:c>
      <x:c r="B5" s="4" t="str">
        <x:v>Fundamentos e caracterização do recurso solar</x:v>
      </x:c>
      <x:c r="C5" s="4" t="str">
        <x:v>Samuel</x:v>
      </x:c>
      <x:c r="D5" s="12" t="n">
        <x:f>SUM(Acervo!Q5:Q95)</x:f>
        <x:v>42</x:v>
      </x:c>
      <x:c r="E5" s="4" t="str">
        <x:v>https://drive.google.com/drive/folders/1esl2GA47Er1PaBBuAHb71P1d3tbJJlaV</x:v>
      </x:c>
    </x:row>
    <x:row r="6" ht="70" customHeight="1">
      <x:c r="A6" s="4" t="n">
        <x:v>2</x:v>
      </x:c>
      <x:c r="B6" s="4" t="str">
        <x:v>Condições ambientais e de entorno</x:v>
      </x:c>
      <x:c r="C6" s="4" t="str">
        <x:v>Vannessa e Thais</x:v>
      </x:c>
      <x:c r="D6" s="12" t="n">
        <x:f>SUM(Acervo!R5:R95)</x:f>
        <x:v>40</x:v>
      </x:c>
      <x:c r="E6" s="4" t="str">
        <x:v>https://drive.google.com/drive/folders/1mYMomrkVin7xlaShq0BAzwDKPHep2u6q</x:v>
      </x:c>
    </x:row>
    <x:row r="7" ht="70" customHeight="1">
      <x:c r="A7" s="4" t="n">
        <x:v>3</x:v>
      </x:c>
      <x:c r="B7" s="4" t="str">
        <x:v>Modelagem da conversão fotovoltaica</x:v>
      </x:c>
      <x:c r="C7" s="4" t="str">
        <x:v>Gabriela e Giulia</x:v>
      </x:c>
      <x:c r="D7" s="12" t="n">
        <x:f>SUM(Acervo!S5:S95)</x:f>
        <x:v>37</x:v>
      </x:c>
      <x:c r="E7" s="4" t="str">
        <x:v>https://drive.google.com/drive/folders/10grFDJw29slmK6UxTb2FEXHE2pEGDsAl</x:v>
      </x:c>
    </x:row>
    <x:row r="8" ht="70" customHeight="1">
      <x:c r="A8" s="4" t="n">
        <x:v>4</x:v>
      </x:c>
      <x:c r="B8" s="4" t="str">
        <x:v>Desempenho, perdas e validação</x:v>
      </x:c>
      <x:c r="C8" s="4" t="str">
        <x:v>Júlia Ribeiro e Lucas Simão</x:v>
      </x:c>
      <x:c r="D8" s="12" t="n">
        <x:f>SUM(Acervo!T5:T95)</x:f>
        <x:v>41</x:v>
      </x:c>
      <x:c r="E8" s="4" t="str">
        <x:v>https://drive.google.com/drive/folders/1nGapB-KFSKBJUi88S28jIj2za1C4HXt_</x:v>
      </x:c>
    </x:row>
    <x:row r="9">
      <x:c r="A9" s="4"/>
      <x:c r="B9" s="4"/>
      <x:c r="C9" s="4"/>
      <x:c r="D9" s="12"/>
      <x:c r="E9" s="4"/>
    </x:row>
    <x:row r="10" ht="32" customHeight="1">
      <x:c r="A10" s="4"/>
      <x:c r="B10" s="4" t="str">
        <x:v>Registros de obras/edições em PDF</x:v>
      </x:c>
      <x:c r="C10" s="4"/>
      <x:c r="D10" s="12" t="n">
        <x:f>COUNTA(Acervo!A5:A95)</x:f>
        <x:v>91</x:v>
      </x:c>
      <x:c r="E10" s="4"/>
    </x:row>
    <x:row r="11" ht="32" customHeight="1">
      <x:c r="A11" s="4"/>
      <x:c r="B11" s="4" t="str">
        <x:v>Cópias distribuídas pelas seções</x:v>
      </x:c>
      <x:c r="C11" s="4"/>
      <x:c r="D11" s="12" t="n">
        <x:f>SUM(D5:D8)</x:f>
        <x:v>160</x:v>
      </x:c>
      <x:c r="E11" s="4"/>
    </x:row>
    <x:row r="12" ht="32" customHeight="1">
      <x:c r="A12" s="4"/>
      <x:c r="B12" s="4"/>
      <x:c r="C12" s="4"/>
      <x:c r="D12" s="12"/>
      <x:c r="E12" s="4"/>
    </x:row>
    <x:row r="13" ht="32" customHeight="1">
      <x:c r="A13" s="4"/>
      <x:c r="B13" s="4"/>
      <x:c r="C13" s="4"/>
      <x:c r="D13" s="12"/>
      <x:c r="E13" s="4"/>
    </x:row>
    <x:row r="14" ht="44" customHeight="1">
      <x:c r="A14" s="4"/>
      <x:c r="B14" s="4" t="str">
        <x:v>Disponibilidade das 39 referências indicadas</x:v>
      </x:c>
      <x:c r="C14" s="4"/>
      <x:c r="D14" s="12"/>
      <x:c r="E14" s="4"/>
    </x:row>
    <x:row r="15" ht="32" customHeight="1">
      <x:c r="A15" s="4"/>
      <x:c r="B15" s="4"/>
      <x:c r="C15" s="4"/>
      <x:c r="D15" s="12"/>
      <x:c r="E15" s="4"/>
    </x:row>
    <x:row r="16" ht="32" customHeight="1">
      <x:c r="A16" s="4"/>
      <x:c r="B16" s="6" t="str">
        <x:v>Situação</x:v>
      </x:c>
      <x:c r="C16" s="6"/>
      <x:c r="D16" s="13" t="str">
        <x:v>Referências</x:v>
      </x:c>
      <x:c r="E16" s="4"/>
    </x:row>
    <x:row r="17" ht="32" customHeight="1">
      <x:c r="A17" s="4"/>
      <x:c r="B17" s="4" t="str">
        <x:v>PDF encontrado</x:v>
      </x:c>
      <x:c r="C17" s="4"/>
      <x:c r="D17" s="12" t="n">
        <x:f>COUNTIF(Indicadas!C5:C43,B17)</x:f>
        <x:v>28</x:v>
      </x:c>
      <x:c r="E17" s="4"/>
    </x:row>
    <x:row r="18" ht="32" customHeight="1">
      <x:c r="A18" s="4"/>
      <x:c r="B18" s="4" t="str">
        <x:v>PDF não localizado</x:v>
      </x:c>
      <x:c r="C18" s="4"/>
      <x:c r="D18" s="12" t="n">
        <x:f>COUNTIF(Indicadas!C5:C43,B18)</x:f>
        <x:v>1</x:v>
      </x:c>
      <x:c r="E18" s="4"/>
    </x:row>
    <x:row r="19" ht="32" customHeight="1">
      <x:c r="A19" s="4"/>
      <x:c r="B19" s="4" t="str">
        <x:v>Outra edição disponível</x:v>
      </x:c>
      <x:c r="C19" s="4"/>
      <x:c r="D19" s="12" t="n">
        <x:f>COUNTIF(Indicadas!C5:C43,B19)</x:f>
        <x:v>1</x:v>
      </x:c>
      <x:c r="E19" s="4"/>
    </x:row>
    <x:row r="20" ht="32" customHeight="1">
      <x:c r="A20" s="4"/>
      <x:c r="B20" s="4" t="str">
        <x:v>Fonte online</x:v>
      </x:c>
      <x:c r="C20" s="4"/>
      <x:c r="D20" s="12" t="n">
        <x:f>COUNTIF(Indicadas!C5:C43,B20)</x:f>
        <x:v>8</x:v>
      </x:c>
      <x:c r="E20" s="4"/>
    </x:row>
    <x:row r="21" ht="32" customHeight="1">
      <x:c r="A21" s="4"/>
      <x:c r="B21" s="4" t="str">
        <x:v>Dados no projeto</x:v>
      </x:c>
      <x:c r="C21" s="4"/>
      <x:c r="D21" s="12" t="n">
        <x:f>COUNTIF(Indicadas!C5:C43,B21)</x:f>
        <x:v>1</x:v>
      </x:c>
      <x:c r="E21" s="4"/>
    </x:row>
    <x:row r="22" ht="32" customHeight="1">
      <x:c r="A22" s="4"/>
      <x:c r="B22" s="4" t="str">
        <x:v>PDF parcial</x:v>
      </x:c>
      <x:c r="C22" s="4"/>
      <x:c r="D22" s="12" t="n">
        <x:f>COUNTIF(Indicadas!C5:C43,B22)</x:f>
        <x:v>0</x:v>
      </x:c>
      <x:c r="E22" s="4"/>
    </x:row>
    <x:row r="23" ht="32" customHeight="1">
      <x:c r="A23" s="4"/>
      <x:c r="B23" s="4" t="str">
        <x:v>Total de referências indicadas</x:v>
      </x:c>
      <x:c r="C23" s="4"/>
      <x:c r="D23" s="12" t="n">
        <x:f>SUM(D17:D22)</x:f>
        <x:v>39</x:v>
      </x:c>
      <x:c r="E23" s="4"/>
    </x:row>
    <x:row r="24" ht="32" customHeight="1">
      <x:c r="A24" s="4"/>
      <x:c r="B24" s="4"/>
      <x:c r="C24" s="4"/>
      <x:c r="D24" s="4"/>
      <x:c r="E24" s="4"/>
    </x:row>
    <x:row r="25" ht="32" customHeight="1">
      <x:c r="A25" s="4"/>
      <x:c r="B25" s="4" t="str">
        <x:v>Norma adicional da arquitetura</x:v>
      </x:c>
      <x:c r="C25" s="4" t="str">
        <x:v>Situação</x:v>
      </x:c>
      <x:c r="D25" s="4"/>
      <x:c r="E25" s="4"/>
    </x:row>
    <x:row r="26" ht="32" customHeight="1">
      <x:c r="A26" s="4"/>
      <x:c r="B26" s="4" t="str">
        <x:v>IEC 61724-1:2021</x:v>
      </x:c>
      <x:c r="C26" s="4" t="str">
        <x:v>PDF não localizado</x:v>
      </x:c>
      <x:c r="D26" s="4"/>
      <x:c r="E26" s="4"/>
    </x:row>
    <x:row r="27">
      <x:c r="A27" s="4"/>
      <x:c r="B27" s="4"/>
      <x:c r="C27" s="4"/>
      <x:c r="D27" s="4"/>
      <x:c r="E27" s="4"/>
    </x:row>
    <x:row r="28" ht="65" customHeight="1">
      <x:c r="A28" s="4"/>
      <x:c r="B28" s="4" t="str">
        <x:v>As contagens por seção incluem obras usadas por mais de uma equipe.</x:v>
      </x:c>
      <x:c r="C28" s="4"/>
      <x:c r="D28" s="4"/>
      <x:c r="E28" s="4"/>
    </x:row>
    <x:row r="29">
      <x:c r="A29" s="4"/>
      <x:c r="B29" s="4"/>
      <x:c r="C29" s="4"/>
      <x:c r="D29" s="4"/>
      <x:c r="E29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30" hidden="0" customWidth="1"/>
    <x:col min="4" max="4" width="16" hidden="0" customWidth="1"/>
    <x:col min="5" max="5" width="40" hidden="0" customWidth="1"/>
    <x:col min="6" max="6" width="96" hidden="0" customWidth="1"/>
    <x:col min="7" max="7" width="52" hidden="0" customWidth="1"/>
    <x:col min="8" max="8" width="28" hidden="0" customWidth="1"/>
    <x:col min="9" max="9" width="23" hidden="0" customWidth="1"/>
    <x:col min="10" max="10" width="78" hidden="0" customWidth="1"/>
    <x:col min="11" max="11" width="30" hidden="0" customWidth="1"/>
  </x:cols>
  <x:sheetData>
    <x:row r="2" ht="34" customHeight="1">
      <x:c r="A2" s="4"/>
      <x:c r="B2" s="20" t="str">
        <x:v>Referências sugeridas e disponibilidade</x:v>
      </x:c>
      <x:c r="C2" s="21"/>
      <x:c r="D2" s="21"/>
      <x:c r="E2" s="21"/>
      <x:c r="F2" s="21"/>
      <x:c r="G2" s="21"/>
      <x:c r="H2" s="21"/>
      <x:c r="I2" s="21"/>
      <x:c r="J2" s="21"/>
      <x:c r="K2" s="21"/>
    </x:row>
    <x:row r="3" ht="30" customHeight="1">
      <x:c r="A3" s="4"/>
      <x:c r="B3" s="22" t="str">
        <x:v>39 referências B01–B39 e a norma N01. As alternativas de B19, B20 e N01 estão na coluna Ação; as obras originais continuam pendentes.</x:v>
      </x:c>
      <x:c r="C3" s="21"/>
      <x:c r="D3" s="21"/>
      <x:c r="E3" s="21"/>
      <x:c r="F3" s="21"/>
      <x:c r="G3" s="21"/>
      <x:c r="H3" s="21"/>
      <x:c r="I3" s="21"/>
      <x:c r="J3" s="21"/>
      <x:c r="K3" s="21"/>
    </x:row>
    <x:row r="4" ht="48" customHeight="1">
      <x:c r="A4" s="7" t="str">
        <x:v>Código</x:v>
      </x:c>
      <x:c r="B4" s="7" t="str">
        <x:v>Tipo indicado</x:v>
      </x:c>
      <x:c r="C4" s="7" t="str">
        <x:v>Situação</x:v>
      </x:c>
      <x:c r="D4" s="7" t="str">
        <x:v>Seções</x:v>
      </x:c>
      <x:c r="E4" s="7" t="str">
        <x:v>Subseções</x:v>
      </x:c>
      <x:c r="F4" s="7" t="str">
        <x:v>Referência indicada</x:v>
      </x:c>
      <x:c r="G4" s="7" t="str">
        <x:v>DOI</x:v>
      </x:c>
      <x:c r="H4" s="7" t="str">
        <x:v>Acesso</x:v>
      </x:c>
      <x:c r="I4" s="7" t="str">
        <x:v>Obra disponível</x:v>
      </x:c>
      <x:c r="J4" s="7" t="str">
        <x:v>Próxima ação</x:v>
      </x:c>
      <x:c r="K4" s="7" t="str">
        <x:v>Origem da indicação</x:v>
      </x:c>
    </x:row>
    <x:row r="5" ht="67.19999694824219" hidden="0" customHeight="1">
      <x:c r="A5" s="4" t="str">
        <x:v>B01</x:v>
      </x:c>
      <x:c r="B5" s="4" t="str">
        <x:v>Documento técnico</x:v>
      </x:c>
      <x:c r="C5" s="4" t="str">
        <x:v>PDF encontrado</x:v>
      </x:c>
      <x:c r="D5" s="4" t="str">
        <x:v>3</x:v>
      </x:c>
      <x:c r="E5" s="4" t="str">
        <x:v>3.5</x:v>
      </x:c>
      <x:c r="F5" s="4" t="str">
        <x:v>ABB. TRIO-20.0/27.6-TL-US — Product Manual. [S. l.], [s.d.]. Disponível em: https://library.e.abb.com/public/9ddffa465aa146bfa43bd0854abbcc81/TRIO-20.0-27.6-TL-US_Product_Manual.pdf. Acesso em: 16 out. 2026.</x:v>
      </x:c>
      <x:c r="G5" s="4" t="str"/>
      <x:c r="H5" s="4" t="str">
        <x:v>https://library.e.abb.com/public/9ddffa465aa146bfa43bd0854abbcc81/TRIO-20.0-27.6-TL-US_Product_Manual.pdf</x:v>
      </x:c>
      <x:c r="I5" s="4" t="str">
        <x:v>A068</x:v>
      </x:c>
      <x:c r="J5" s="4" t="str">
        <x:v>Consultar a cópia na seção</x:v>
      </x:c>
      <x:c r="K5" s="4" t="str">
        <x:v>https://drive.google.com/file/d/1ZF6Z48AcSgmJKDliGFP3LVw1Vw88Pq5Y/view</x:v>
      </x:c>
    </x:row>
    <x:row r="6" ht="67.19999694824219" hidden="0" customHeight="1">
      <x:c r="A6" s="4" t="str">
        <x:v>B02</x:v>
      </x:c>
      <x:c r="B6" s="4" t="str">
        <x:v>Artigo</x:v>
      </x:c>
      <x:c r="C6" s="4" t="str">
        <x:v>PDF encontrado</x:v>
      </x:c>
      <x:c r="D6" s="4" t="str">
        <x:v>4</x:v>
      </x:c>
      <x:c r="E6" s="4" t="str">
        <x:v>4.5</x:v>
      </x:c>
      <x:c r="F6" s="4" t="str">
        <x:v>ANDERSEN, N. L.; BABIN, M.; THORSTEINSSON, S. Experimental investigation of the temperature distribution in a BIPV façade. EPJ Photovoltaics, [S. l.], v. 15, art. 36, 2024. DOI: https://doi.org/10.1051/epjpv/2024032. Disponível em: https://doi.org/10.1051/epjpv/2024032. Acesso em: 16 out. 2026.</x:v>
      </x:c>
      <x:c r="G6" s="4" t="str">
        <x:v>10.1051/epjpv/2024032</x:v>
      </x:c>
      <x:c r="H6" s="4" t="str">
        <x:v>https://doi.org/10.1051/epjpv/2024032</x:v>
      </x:c>
      <x:c r="I6" s="4" t="str">
        <x:v>A071</x:v>
      </x:c>
      <x:c r="J6" s="4" t="str">
        <x:v>Consultar a cópia na seção; PDF recebido e conferido em 18/10/2026</x:v>
      </x:c>
      <x:c r="K6" s="4" t="str">
        <x:v>https://drive.google.com/file/d/1ZF6Z48AcSgmJKDliGFP3LVw1Vw88Pq5Y/view</x:v>
      </x:c>
    </x:row>
    <x:row r="7" ht="67.19999694824219" hidden="0" customHeight="1">
      <x:c r="A7" s="4" t="str">
        <x:v>B03</x:v>
      </x:c>
      <x:c r="B7" s="4" t="str">
        <x:v>Artigo</x:v>
      </x:c>
      <x:c r="C7" s="4" t="str">
        <x:v>PDF encontrado</x:v>
      </x:c>
      <x:c r="D7" s="4" t="str">
        <x:v>2</x:v>
      </x:c>
      <x:c r="E7" s="4" t="str">
        <x:v>2.2</x:v>
      </x:c>
      <x:c r="F7" s="4" t="str">
        <x:v>ANDREWS, R. W.; PEARCE, J. M. The effect of spectral albedo on amorphous silicon and crystalline silicon solar photovoltaic device performance. Solar Energy, [S. l.], v. 91, p. 233-241, 2013. DOI: https://doi.org/10.1016/j.solener.2013.01.030. Disponível em: https://doi.org/10.1016/j.solener.2013.01.030. Acesso em: 16 out. 2026.</x:v>
      </x:c>
      <x:c r="G7" s="4" t="str">
        <x:v>10.1016/j.solener.2013.01.030</x:v>
      </x:c>
      <x:c r="H7" s="4" t="str">
        <x:v>https://doi.org/10.1016/j.solener.2013.01.030</x:v>
      </x:c>
      <x:c r="I7" s="4" t="str">
        <x:v>A072</x:v>
      </x:c>
      <x:c r="J7" s="4" t="str">
        <x:v>Consultar a cópia na seção; PDF recebido e conferido em 18/10/2026</x:v>
      </x:c>
      <x:c r="K7" s="4" t="str">
        <x:v>https://drive.google.com/file/d/1ZF6Z48AcSgmJKDliGFP3LVw1Vw88Pq5Y/view</x:v>
      </x:c>
    </x:row>
    <x:row r="8" ht="67.19999694824219" hidden="0" customHeight="1">
      <x:c r="A8" s="4" t="str">
        <x:v>B04</x:v>
      </x:c>
      <x:c r="B8" s="4" t="str">
        <x:v>Artigo</x:v>
      </x:c>
      <x:c r="C8" s="4" t="str">
        <x:v>PDF encontrado</x:v>
      </x:c>
      <x:c r="D8" s="4" t="str">
        <x:v>2; 3</x:v>
      </x:c>
      <x:c r="E8" s="4" t="str">
        <x:v>2.3; 3.4</x:v>
      </x:c>
      <x:c r="F8" s="4" t="str">
        <x:v>BISHOP, J. W. Computer simulation of the effects of electrical mismatches in photovoltaic cell interconnection circuits. Solar Cells, [S. l.], v. 25, n. 1, p. 73-89, 1988. DOI: https://doi.org/10.1016/0379-6787(88)90059-2. Disponível em: https://doi.org/10.1016/0379-6787(88)90059-2. Acesso em: 16 out. 2026.</x:v>
      </x:c>
      <x:c r="G8" s="4" t="str">
        <x:v>10.1016/0379-6787(88)90059-2</x:v>
      </x:c>
      <x:c r="H8" s="4" t="str">
        <x:v>https://doi.org/10.1016/0379-6787(88)90059-2</x:v>
      </x:c>
      <x:c r="I8" s="4" t="str">
        <x:v>A073</x:v>
      </x:c>
      <x:c r="J8" s="4" t="str">
        <x:v>Consultar a cópia na seção; PDF recebido e conferido em 18/10/2026</x:v>
      </x:c>
      <x:c r="K8" s="4" t="str">
        <x:v>https://drive.google.com/file/d/1ZF6Z48AcSgmJKDliGFP3LVw1Vw88Pq5Y/view</x:v>
      </x:c>
    </x:row>
    <x:row r="9" ht="67.19999694824219" hidden="0" customHeight="1">
      <x:c r="A9" s="4" t="str">
        <x:v>B05</x:v>
      </x:c>
      <x:c r="B9" s="4" t="str">
        <x:v>Artigo</x:v>
      </x:c>
      <x:c r="C9" s="4" t="str">
        <x:v>PDF encontrado</x:v>
      </x:c>
      <x:c r="D9" s="4" t="str">
        <x:v>4</x:v>
      </x:c>
      <x:c r="E9" s="4" t="str">
        <x:v>4.5</x:v>
      </x:c>
      <x:c r="F9" s="4" t="str">
        <x:v>BIYIK, E. et al. A key review of building integrated photovoltaic (BIPV) systems. Engineering Science and Technology, an International Journal, [S. l.], v. 20, n. 3, p. 833-858, 2017. DOI: https://doi.org/10.1016/j.jestch.2017.01.009. Disponível em: https://doi.org/10.1016/j.jestch.2017.01.009. Acesso em: 16 out. 2026.</x:v>
      </x:c>
      <x:c r="G9" s="4" t="str">
        <x:v>10.1016/j.jestch.2017.01.009</x:v>
      </x:c>
      <x:c r="H9" s="4" t="str">
        <x:v>https://doi.org/10.1016/j.jestch.2017.01.009</x:v>
      </x:c>
      <x:c r="I9" s="4" t="str">
        <x:v>A074</x:v>
      </x:c>
      <x:c r="J9" s="4" t="str">
        <x:v>Consultar a cópia na seção; PDF recebido e conferido em 18/10/2026</x:v>
      </x:c>
      <x:c r="K9" s="4" t="str">
        <x:v>https://drive.google.com/file/d/1ZF6Z48AcSgmJKDliGFP3LVw1Vw88Pq5Y/view</x:v>
      </x:c>
    </x:row>
    <x:row r="10" ht="50.400001525878906" hidden="0" customHeight="1">
      <x:c r="A10" s="4" t="str">
        <x:v>B06</x:v>
      </x:c>
      <x:c r="B10" s="4" t="str">
        <x:v>Relatório técnico</x:v>
      </x:c>
      <x:c r="C10" s="4" t="str">
        <x:v>PDF encontrado</x:v>
      </x:c>
      <x:c r="D10" s="4" t="str">
        <x:v>3</x:v>
      </x:c>
      <x:c r="E10" s="4" t="str">
        <x:v>3.5</x:v>
      </x:c>
      <x:c r="F10" s="4" t="str">
        <x:v>KING, D. L.; GONZALEZ, S.; GALBRAITH, G. M.; BOYSON, W. E. Performance model for grid-connected photovoltaic inverters. Albuquerque: Sandia National Laboratories, 2007. 47 p. (SAND2007-5036). DOI: https://doi.org/10.2172/920449.</x:v>
      </x:c>
      <x:c r="G10" s="4" t="str">
        <x:v>10.2172/920449</x:v>
      </x:c>
      <x:c r="H10" s="4" t="str">
        <x:v>https://doi.org/10.2172/920449</x:v>
      </x:c>
      <x:c r="I10" s="4" t="str">
        <x:v>A086</x:v>
      </x:c>
      <x:c r="J10" s="4" t="str">
        <x:v>PDF completo obtido na OSTI e incluído na seção em 18/10/2026</x:v>
      </x:c>
      <x:c r="K10" s="4" t="str">
        <x:v>https://drive.google.com/file/d/1ZF6Z48AcSgmJKDliGFP3LVw1Vw88Pq5Y/view</x:v>
      </x:c>
    </x:row>
    <x:row r="11" ht="67.19999694824219" hidden="0" customHeight="1">
      <x:c r="A11" s="4" t="str">
        <x:v>B07</x:v>
      </x:c>
      <x:c r="B11" s="4" t="str">
        <x:v>Artigo</x:v>
      </x:c>
      <x:c r="C11" s="4" t="str">
        <x:v>PDF encontrado</x:v>
      </x:c>
      <x:c r="D11" s="4" t="str">
        <x:v>4</x:v>
      </x:c>
      <x:c r="E11" s="4" t="str">
        <x:v>4.4</x:v>
      </x:c>
      <x:c r="F11" s="4" t="str">
        <x:v>CHAI, T.; DRAXLER, R. R. Root mean square error (RMSE) or mean absolute error (MAE)? – Arguments against avoiding RMSE in the literature. Geoscientific Model Development, [S. l.], v. 7, n. 3, p. 1247-1250, 2014. DOI: https://doi.org/10.5194/gmd-7-1247-2014. Disponível em: https://doi.org/10.5194/gmd-7-1247-2014. Acesso em: 16 out. 2026.</x:v>
      </x:c>
      <x:c r="G11" s="4" t="str">
        <x:v>10.5194/gmd-7-1247-2014</x:v>
      </x:c>
      <x:c r="H11" s="4" t="str">
        <x:v>https://doi.org/10.5194/gmd-7-1247-2014</x:v>
      </x:c>
      <x:c r="I11" s="4" t="str">
        <x:v>A075</x:v>
      </x:c>
      <x:c r="J11" s="4" t="str">
        <x:v>Consultar a cópia na seção; PDF recebido e conferido em 18/10/2026</x:v>
      </x:c>
      <x:c r="K11" s="4" t="str">
        <x:v>https://drive.google.com/file/d/1ZF6Z48AcSgmJKDliGFP3LVw1Vw88Pq5Y/view</x:v>
      </x:c>
    </x:row>
    <x:row r="12" ht="67.19999694824219" hidden="0" customHeight="1">
      <x:c r="A12" s="4" t="str">
        <x:v>B08</x:v>
      </x:c>
      <x:c r="B12" s="4" t="str">
        <x:v>Artigo</x:v>
      </x:c>
      <x:c r="C12" s="4" t="str">
        <x:v>PDF encontrado</x:v>
      </x:c>
      <x:c r="D12" s="4" t="str">
        <x:v>3; 4</x:v>
      </x:c>
      <x:c r="E12" s="4" t="str">
        <x:v>3.3; 3.4; 4.1</x:v>
      </x:c>
      <x:c r="F12" s="4" t="str">
        <x:v>DE SOTO, W.; KLEIN, S. A.; BECKMAN, W. A. Improvement and validation of a model for photovoltaic array performance. Solar Energy, [S. l.], v. 80, n. 1, p. 78-88, 2006. DOI: https://doi.org/10.1016/j.solener.2005.06.010. Disponível em: https://doi.org/10.1016/j.solener.2005.06.010. Acesso em: 16 out. 2026.</x:v>
      </x:c>
      <x:c r="G12" s="4" t="str">
        <x:v>10.1016/j.solener.2005.06.010</x:v>
      </x:c>
      <x:c r="H12" s="4" t="str">
        <x:v>https://doi.org/10.1016/j.solener.2005.06.010</x:v>
      </x:c>
      <x:c r="I12" s="4" t="str">
        <x:v>A076</x:v>
      </x:c>
      <x:c r="J12" s="4" t="str">
        <x:v>Consultar a cópia na seção; PDF recebido e conferido em 18/10/2026</x:v>
      </x:c>
      <x:c r="K12" s="4" t="str">
        <x:v>https://drive.google.com/file/d/1ZF6Z48AcSgmJKDliGFP3LVw1Vw88Pq5Y/view</x:v>
      </x:c>
    </x:row>
    <x:row r="13" ht="50.400001525878906" hidden="0" customHeight="1">
      <x:c r="A13" s="4" t="str">
        <x:v>B09</x:v>
      </x:c>
      <x:c r="B13" s="4" t="str">
        <x:v>Relatório técnico</x:v>
      </x:c>
      <x:c r="C13" s="4" t="str">
        <x:v>PDF encontrado</x:v>
      </x:c>
      <x:c r="D13" s="4" t="str">
        <x:v>4</x:v>
      </x:c>
      <x:c r="E13" s="4" t="str">
        <x:v>4.3</x:v>
      </x:c>
      <x:c r="F13" s="4" t="str">
        <x:v>DIERAUF, T. et al. Weather-corrected performance ratio. Golden: National Renewable Energy Laboratory, 2013. 22 p. (NREL/TP-5200-57991). DOI: https://doi.org/10.2172/1078057.</x:v>
      </x:c>
      <x:c r="G13" s="4" t="str">
        <x:v>10.2172/1078057</x:v>
      </x:c>
      <x:c r="H13" s="4" t="str">
        <x:v>https://doi.org/10.2172/1078057</x:v>
      </x:c>
      <x:c r="I13" s="4" t="str">
        <x:v>A087</x:v>
      </x:c>
      <x:c r="J13" s="4" t="str">
        <x:v>PDF completo obtido na OSTI e incluído na seção em 18/10/2026</x:v>
      </x:c>
      <x:c r="K13" s="4" t="str">
        <x:v>https://drive.google.com/file/d/1ZF6Z48AcSgmJKDliGFP3LVw1Vw88Pq5Y/view</x:v>
      </x:c>
    </x:row>
    <x:row r="14" ht="50.400001525878906" hidden="0" customHeight="1">
      <x:c r="A14" s="4" t="str">
        <x:v>B10</x:v>
      </x:c>
      <x:c r="B14" s="4" t="str">
        <x:v>Documento técnico</x:v>
      </x:c>
      <x:c r="C14" s="4" t="str">
        <x:v>PDF encontrado</x:v>
      </x:c>
      <x:c r="D14" s="4" t="str">
        <x:v>3</x:v>
      </x:c>
      <x:c r="E14" s="4" t="str">
        <x:v>3.5</x:v>
      </x:c>
      <x:c r="F14" s="4" t="str">
        <x:v>DOBOS, A. P. PVWatts Version 5 Manual — NREL/TP-6A20-62641. [S. l.], 2014. Disponível em: https://docs.nlr.gov/docs/fy14osti/62641.pdf. Acesso em: 16 out. 2026.</x:v>
      </x:c>
      <x:c r="G14" s="4" t="str"/>
      <x:c r="H14" s="4" t="str">
        <x:v>https://docs.nlr.gov/docs/fy14osti/62641.pdf</x:v>
      </x:c>
      <x:c r="I14" s="4" t="str">
        <x:v>A067</x:v>
      </x:c>
      <x:c r="J14" s="4" t="str">
        <x:v>Consultar a cópia na seção</x:v>
      </x:c>
      <x:c r="K14" s="4" t="str">
        <x:v>https://drive.google.com/file/d/1ZF6Z48AcSgmJKDliGFP3LVw1Vw88Pq5Y/view</x:v>
      </x:c>
    </x:row>
    <x:row r="15" ht="67.19999694824219" hidden="0" customHeight="1">
      <x:c r="A15" s="4" t="str">
        <x:v>B11</x:v>
      </x:c>
      <x:c r="B15" s="4" t="str">
        <x:v>Artigo</x:v>
      </x:c>
      <x:c r="C15" s="4" t="str">
        <x:v>PDF encontrado</x:v>
      </x:c>
      <x:c r="D15" s="4" t="str">
        <x:v>1; 2; 3; 4</x:v>
      </x:c>
      <x:c r="E15" s="4" t="str">
        <x:v>1.2; 2.2; 3.1; 4.5</x:v>
      </x:c>
      <x:c r="F15" s="4" t="str">
        <x:v>DRIESSE, A.; JENSEN, A. R.; PEREZ, R. A continuous form of the Perez diffuse sky model for forward and reverse transposition. Solar Energy, [S. l.], v. 267, art. 112093, 2024. DOI: https://doi.org/10.1016/j.solener.2023.112093. Disponível em: https://doi.org/10.1016/j.solener.2023.112093. Acesso em: 16 out. 2026.</x:v>
      </x:c>
      <x:c r="G15" s="4" t="str">
        <x:v>10.1016/j.solener.2023.112093</x:v>
      </x:c>
      <x:c r="H15" s="4" t="str">
        <x:v>https://orbit.dtu.dk/en/publications/a-continuous-form-of-the-perez-diffuse-sky-model-for-forward-and-/</x:v>
      </x:c>
      <x:c r="I15" s="4" t="str">
        <x:v>A089</x:v>
      </x:c>
      <x:c r="J15" s="4" t="str">
        <x:v>PDF completo recebido e conferido em 18/10/2026: versão final da editora, 12 páginas, licença CC BY 4.0. Disponível como A089 nas quatro seções; original preservado.</x:v>
      </x:c>
      <x:c r="K15" s="4" t="str">
        <x:v>https://drive.google.com/file/d/1ZF6Z48AcSgmJKDliGFP3LVw1Vw88Pq5Y/view</x:v>
      </x:c>
    </x:row>
    <x:row r="16" ht="50.400001525878906" hidden="0" customHeight="1">
      <x:c r="A16" s="4" t="str">
        <x:v>B12</x:v>
      </x:c>
      <x:c r="B16" s="4" t="str">
        <x:v>Livro</x:v>
      </x:c>
      <x:c r="C16" s="4" t="str">
        <x:v>PDF encontrado</x:v>
      </x:c>
      <x:c r="D16" s="4" t="str">
        <x:v>1; 2; 3; 4</x:v>
      </x:c>
      <x:c r="E16" s="4" t="str">
        <x:v>1.1; 1.2; 1.3; 1.4; 2.1; 2.2; 2.3; 2.4; 3.1; 3.2; 3.3; 3.4; 3.5; 3.6; 4.2; 4.3</x:v>
      </x:c>
      <x:c r="F16" s="4" t="str">
        <x:v>DUFFIE, J. A.; BECKMAN, W. A.; BLAIR, N. Solar Engineering of Thermal Processes, Photovoltaics and Wind. [S. l.]: Wiley, 2020. DOI: https://doi.org/10.1002/9781119540328. Disponível em: https://doi.org/10.1002/9781119540328. Acesso em: 16 out. 2026.</x:v>
      </x:c>
      <x:c r="G16" s="4" t="str">
        <x:v>10.1002/9781119540328</x:v>
      </x:c>
      <x:c r="H16" s="4" t="str">
        <x:v>https://doi.org/10.1002/9781119540328</x:v>
      </x:c>
      <x:c r="I16" s="4" t="str">
        <x:v>A001</x:v>
      </x:c>
      <x:c r="J16" s="4" t="str">
        <x:v>Consultar a cópia na seção</x:v>
      </x:c>
      <x:c r="K16" s="4" t="str">
        <x:v>https://drive.google.com/file/d/1ZF6Z48AcSgmJKDliGFP3LVw1Vw88Pq5Y/view</x:v>
      </x:c>
    </x:row>
    <x:row r="17" ht="67.19999694824219" hidden="0" customHeight="1">
      <x:c r="A17" s="4" t="str">
        <x:v>B13</x:v>
      </x:c>
      <x:c r="B17" s="4" t="str">
        <x:v>Artigo</x:v>
      </x:c>
      <x:c r="C17" s="4" t="str">
        <x:v>PDF encontrado</x:v>
      </x:c>
      <x:c r="D17" s="4" t="str">
        <x:v>2; 3</x:v>
      </x:c>
      <x:c r="E17" s="4" t="str">
        <x:v>2.1; 3.2</x:v>
      </x:c>
      <x:c r="F17" s="4" t="str">
        <x:v>FAIMAN, D. Assessing the outdoor operating temperature of photovoltaic modules. Progress in Photovoltaics: Research and Applications, [S. l.], v. 16, n. 4, p. 307-315, 2008. DOI: https://doi.org/10.1002/pip.813. Disponível em: https://doi.org/10.1002/pip.813. Acesso em: 16 out. 2026.</x:v>
      </x:c>
      <x:c r="G17" s="4" t="str">
        <x:v>10.1002/pip.813</x:v>
      </x:c>
      <x:c r="H17" s="4" t="str">
        <x:v>https://doi.org/10.1002/pip.813</x:v>
      </x:c>
      <x:c r="I17" s="4" t="str">
        <x:v>A030</x:v>
      </x:c>
      <x:c r="J17" s="4" t="str">
        <x:v>Consultar a cópia na seção</x:v>
      </x:c>
      <x:c r="K17" s="4" t="str">
        <x:v>https://drive.google.com/file/d/1ZF6Z48AcSgmJKDliGFP3LVw1Vw88Pq5Y/view</x:v>
      </x:c>
    </x:row>
    <x:row r="18" ht="67.19999694824219" hidden="0" customHeight="1">
      <x:c r="A18" s="4" t="str">
        <x:v>B14</x:v>
      </x:c>
      <x:c r="B18" s="4" t="str">
        <x:v>Artigo</x:v>
      </x:c>
      <x:c r="C18" s="4" t="str">
        <x:v>PDF encontrado</x:v>
      </x:c>
      <x:c r="D18" s="4" t="str">
        <x:v>2; 3</x:v>
      </x:c>
      <x:c r="E18" s="4" t="str">
        <x:v>2.4; 3.3</x:v>
      </x:c>
      <x:c r="F18" s="4" t="str">
        <x:v>HOLMGREN, W. F.; HANSEN, C. W.; MIKOFSKI, M. A. pvlib python: a python package for modeling solar energy systems. Journal of Open Source Software, [S. l.], v. 3, n. 29, art. 884, 2018. DOI: https://doi.org/10.21105/joss.00884. Disponível em: https://doi.org/10.21105/joss.00884. Acesso em: 16 out. 2026.</x:v>
      </x:c>
      <x:c r="G18" s="4" t="str">
        <x:v>10.21105/joss.00884</x:v>
      </x:c>
      <x:c r="H18" s="4" t="str">
        <x:v>https://doi.org/10.21105/joss.00884</x:v>
      </x:c>
      <x:c r="I18" s="4" t="str">
        <x:v>A018</x:v>
      </x:c>
      <x:c r="J18" s="4" t="str">
        <x:v>Consultar a cópia na seção</x:v>
      </x:c>
      <x:c r="K18" s="4" t="str">
        <x:v>https://drive.google.com/file/d/1ZF6Z48AcSgmJKDliGFP3LVw1Vw88Pq5Y/view</x:v>
      </x:c>
    </x:row>
    <x:row r="19" ht="67.19999694824219" hidden="0" customHeight="1">
      <x:c r="A19" s="4" t="str">
        <x:v>B15</x:v>
      </x:c>
      <x:c r="B19" s="4" t="str">
        <x:v>Artigo</x:v>
      </x:c>
      <x:c r="C19" s="4" t="str">
        <x:v>PDF encontrado</x:v>
      </x:c>
      <x:c r="D19" s="4" t="str">
        <x:v>2</x:v>
      </x:c>
      <x:c r="E19" s="4" t="str">
        <x:v>2.4</x:v>
      </x:c>
      <x:c r="F19" s="4" t="str">
        <x:v>JACOBSON, M. Z.; JADHAV, V. World estimates of PV optimal tilt angles and ratios of sunlight incident upon tilted and tracked PV panels relative to horizontal panels. Solar Energy, [S. l.], v. 169, p. 55-66, 2018. DOI: https://doi.org/10.1016/j.solener.2018.04.030. Disponível em: https://doi.org/10.1016/j.solener.2018.04.030. Acesso em: 16 out. 2026.</x:v>
      </x:c>
      <x:c r="G19" s="4" t="str">
        <x:v>10.1016/j.solener.2018.04.030</x:v>
      </x:c>
      <x:c r="H19" s="4" t="str">
        <x:v>https://doi.org/10.1016/j.solener.2018.04.030</x:v>
      </x:c>
      <x:c r="I19" s="4" t="str">
        <x:v>A077</x:v>
      </x:c>
      <x:c r="J19" s="4" t="str">
        <x:v>Consultar a cópia na seção; PDF recebido e conferido em 18/10/2026</x:v>
      </x:c>
      <x:c r="K19" s="4" t="str">
        <x:v>https://drive.google.com/file/d/1ZF6Z48AcSgmJKDliGFP3LVw1Vw88Pq5Y/view</x:v>
      </x:c>
    </x:row>
    <x:row r="20" ht="67.19999694824219" hidden="0" customHeight="1">
      <x:c r="A20" s="4" t="str">
        <x:v>B16</x:v>
      </x:c>
      <x:c r="B20" s="4" t="str">
        <x:v>Artigo</x:v>
      </x:c>
      <x:c r="C20" s="4" t="str">
        <x:v>PDF encontrado</x:v>
      </x:c>
      <x:c r="D20" s="4" t="str">
        <x:v>4</x:v>
      </x:c>
      <x:c r="E20" s="4" t="str">
        <x:v>4.5</x:v>
      </x:c>
      <x:c r="F20" s="4" t="str">
        <x:v>JELLE, B. P.; BREIVIK, C.; RØKENES, H. D. Building integrated photovoltaic products: A state-of-the-art review and future research opportunities. Solar Energy Materials and Solar Cells, [S. l.], v. 100, p. 69-96, 2012. DOI: https://doi.org/10.1016/j.solmat.2011.12.016. Disponível em: https://doi.org/10.1016/j.solmat.2011.12.016. Acesso em: 16 out. 2026.</x:v>
      </x:c>
      <x:c r="G20" s="4" t="str">
        <x:v>10.1016/j.solmat.2011.12.016</x:v>
      </x:c>
      <x:c r="H20" s="4" t="str">
        <x:v>https://doi.org/10.1016/j.solmat.2011.12.016</x:v>
      </x:c>
      <x:c r="I20" s="4" t="str">
        <x:v>A078</x:v>
      </x:c>
      <x:c r="J20" s="4" t="str">
        <x:v>Consultar a cópia na seção; PDF recebido e conferido em 18/10/2026</x:v>
      </x:c>
      <x:c r="K20" s="4" t="str">
        <x:v>https://drive.google.com/file/d/1ZF6Z48AcSgmJKDliGFP3LVw1Vw88Pq5Y/view</x:v>
      </x:c>
    </x:row>
    <x:row r="21" ht="67.19999694824219" hidden="0" customHeight="1">
      <x:c r="A21" s="4" t="str">
        <x:v>B17</x:v>
      </x:c>
      <x:c r="B21" s="4" t="str">
        <x:v>Artigo</x:v>
      </x:c>
      <x:c r="C21" s="4" t="str">
        <x:v>PDF encontrado</x:v>
      </x:c>
      <x:c r="D21" s="4" t="str">
        <x:v>4</x:v>
      </x:c>
      <x:c r="E21" s="4" t="str">
        <x:v>4.1</x:v>
      </x:c>
      <x:c r="F21" s="4" t="str">
        <x:v>JORDAN, D. C.; KURTZ, S. R. Photovoltaic Degradation Rates—an Analytical Review. Progress in Photovoltaics: Research and Applications, [S. l.], v. 21, n. 1, p. 12-29, 2013. DOI: https://doi.org/10.1002/pip.1182. Disponível em: https://doi.org/10.1002/pip.1182. Acesso em: 16 out. 2026.</x:v>
      </x:c>
      <x:c r="G21" s="4" t="str">
        <x:v>10.1002/pip.1182</x:v>
      </x:c>
      <x:c r="H21" s="4" t="str">
        <x:v>https://doi.org/10.1002/pip.1182</x:v>
      </x:c>
      <x:c r="I21" s="4" t="str">
        <x:v>A079</x:v>
      </x:c>
      <x:c r="J21" s="4" t="str">
        <x:v>Consultar a cópia na seção; PDF recebido e conferido em 18/10/2026</x:v>
      </x:c>
      <x:c r="K21" s="4" t="str">
        <x:v>https://drive.google.com/file/d/1ZF6Z48AcSgmJKDliGFP3LVw1Vw88Pq5Y/view</x:v>
      </x:c>
    </x:row>
    <x:row r="22" ht="67.19999694824219" hidden="0" customHeight="1">
      <x:c r="A22" s="4" t="str">
        <x:v>B18</x:v>
      </x:c>
      <x:c r="B22" s="4" t="str">
        <x:v>Artigo</x:v>
      </x:c>
      <x:c r="C22" s="4" t="str">
        <x:v>PDF encontrado</x:v>
      </x:c>
      <x:c r="D22" s="4" t="str">
        <x:v>4</x:v>
      </x:c>
      <x:c r="E22" s="4" t="str">
        <x:v>4.5</x:v>
      </x:c>
      <x:c r="F22" s="4" t="str">
        <x:v>JOSEPH, B.; KICHONGE, B.; POGREBNAYA, T. Semi-Transparent Building Integrated Photovoltaic Solar Glazing: Investigations of Electrical and Optical Performances for Window Applications in Tropical Region. Journal of Energy, [S. l.], v. 2019, p. 1-10, 2019. DOI: https://doi.org/10.1155/2019/6096481. Disponível em: https://doi.org/10.1155/2019/6096481. Acesso em: 16 out. 2026.</x:v>
      </x:c>
      <x:c r="G22" s="4" t="str">
        <x:v>10.1155/2019/6096481</x:v>
      </x:c>
      <x:c r="H22" s="4" t="str">
        <x:v>https://doi.org/10.1155/2019/6096481</x:v>
      </x:c>
      <x:c r="I22" s="4" t="str">
        <x:v>A080</x:v>
      </x:c>
      <x:c r="J22" s="4" t="str">
        <x:v>Consultar a cópia na seção; PDF recebido e conferido em 18/10/2026</x:v>
      </x:c>
      <x:c r="K22" s="4" t="str">
        <x:v>https://drive.google.com/file/d/1ZF6Z48AcSgmJKDliGFP3LVw1Vw88Pq5Y/view</x:v>
      </x:c>
    </x:row>
    <x:row r="23" ht="67.19999694824219" hidden="0" customHeight="1">
      <x:c r="A23" s="4" t="str">
        <x:v>B19</x:v>
      </x:c>
      <x:c r="B23" s="4" t="str">
        <x:v>Livro</x:v>
      </x:c>
      <x:c r="C23" s="24" t="str">
        <x:v>PDF não localizado</x:v>
      </x:c>
      <x:c r="D23" s="4" t="str">
        <x:v>1; 2; 3</x:v>
      </x:c>
      <x:c r="E23" s="4" t="str">
        <x:v>1.1; 1.2; 1.3; 1.4; 2.1; 2.2; 2.4; 3.1; 3.2; 3.6</x:v>
      </x:c>
      <x:c r="F23" s="4" t="str">
        <x:v>KALOGIROU, S. A. Solar energy engineering: processes and systems. 2. ed. [S. l.]: Academic Press, 2014. DOI: https://doi.org/10.1016/C2011-0-07038-2.</x:v>
      </x:c>
      <x:c r="G23" s="4" t="str">
        <x:v>10.1016/C2011-0-07038-2</x:v>
      </x:c>
      <x:c r="H23" s="4" t="str">
        <x:v>https://shop.elsevier.com/books/solar-energy-engineering/kalogirou/978-0-12-397270-5</x:v>
      </x:c>
      <x:c r="I23" s="4" t="str"/>
      <x:c r="J23" s="4" t="str">
        <x:v>A 2ª edição de Kalogirou (2014) continua pendente. A ScienceDirect reconheceu UFPB, mas mostrou apenas resumos dos capítulos. Para a redação, usar A001 (Duffie et al., 2020) e A003 (Jäger et al., 2014), citando essas obras. Ver Alternativas_e_Acesso.md.</x:v>
      </x:c>
      <x:c r="K23" s="4" t="str">
        <x:v>https://drive.google.com/file/d/1ZF6Z48AcSgmJKDliGFP3LVw1Vw88Pq5Y/view</x:v>
      </x:c>
    </x:row>
    <x:row r="24" ht="50.400001525878906" hidden="0" customHeight="1">
      <x:c r="A24" s="4" t="str">
        <x:v>B20</x:v>
      </x:c>
      <x:c r="B24" s="4" t="str">
        <x:v>Livro</x:v>
      </x:c>
      <x:c r="C24" s="24" t="str">
        <x:v>Outra edição disponível</x:v>
      </x:c>
      <x:c r="D24" s="4" t="str">
        <x:v>1; 2; 3; 4</x:v>
      </x:c>
      <x:c r="E24" s="4" t="str">
        <x:v>1.2; 2.1; 2.3; 3.2; 3.3; 3.4; 3.5; 3.6; 4.1; 4.2; 4.3; 4.5</x:v>
      </x:c>
      <x:c r="F24" s="4" t="str">
        <x:v>LUQUE, A.; HEGEDUS, S. (ed.). Handbook of photovoltaic science and engineering. 2. ed. Chichester: Wiley, 2011. DOI: https://doi.org/10.1002/9780470974704.</x:v>
      </x:c>
      <x:c r="G24" s="4" t="str">
        <x:v>10.1002/9780470974704</x:v>
      </x:c>
      <x:c r="H24" s="4" t="str">
        <x:v>https://onlinelibrary.wiley.com/doi/book/10.1002/9780470974704</x:v>
      </x:c>
      <x:c r="I24" s="4" t="str">
        <x:v>A034</x:v>
      </x:c>
      <x:c r="J24" s="4" t="str">
        <x:v>A 2ª edição de 2011 continua pendente; a consulta específica à Wiley exige continuação manual. Usar A003 e A092 como alternativas de trabalho. A034 é a 1ª edição de 2003, mantida como apoio. Ver Alternativas_e_Acesso.md.</x:v>
      </x:c>
      <x:c r="K24" s="4" t="str">
        <x:v>https://drive.google.com/file/d/1ZF6Z48AcSgmJKDliGFP3LVw1Vw88Pq5Y/view</x:v>
      </x:c>
    </x:row>
    <x:row r="25" ht="67.19999694824219" hidden="0" customHeight="1">
      <x:c r="A25" s="4" t="str">
        <x:v>B21</x:v>
      </x:c>
      <x:c r="B25" s="4" t="str">
        <x:v>Artigo</x:v>
      </x:c>
      <x:c r="C25" s="4" t="str">
        <x:v>PDF encontrado</x:v>
      </x:c>
      <x:c r="D25" s="4" t="str">
        <x:v>2; 4</x:v>
      </x:c>
      <x:c r="E25" s="4" t="str">
        <x:v>2.3; 4.1</x:v>
      </x:c>
      <x:c r="F25" s="4" t="str">
        <x:v>MANI, M.; PILLAI, R. Impact of dust on solar photovoltaic (PV) performance: Research status, challenges and recommendations. Renewable and Sustainable Energy Reviews, [S. l.], v. 14, n. 9, p. 3124-3131, 2010. DOI: https://doi.org/10.1016/j.rser.2010.07.065. Disponível em: https://doi.org/10.1016/j.rser.2010.07.065. Acesso em: 16 out. 2026.</x:v>
      </x:c>
      <x:c r="G25" s="4" t="str">
        <x:v>10.1016/j.rser.2010.07.065</x:v>
      </x:c>
      <x:c r="H25" s="4" t="str">
        <x:v>https://doi.org/10.1016/j.rser.2010.07.065</x:v>
      </x:c>
      <x:c r="I25" s="4" t="str">
        <x:v>A081</x:v>
      </x:c>
      <x:c r="J25" s="4" t="str">
        <x:v>Consultar a cópia na seção; PDF recebido e conferido em 18/10/2026</x:v>
      </x:c>
      <x:c r="K25" s="4" t="str">
        <x:v>https://drive.google.com/file/d/1ZF6Z48AcSgmJKDliGFP3LVw1Vw88Pq5Y/view</x:v>
      </x:c>
    </x:row>
    <x:row r="26" ht="84" hidden="0" customHeight="1">
      <x:c r="A26" s="4" t="str">
        <x:v>B22</x:v>
      </x:c>
      <x:c r="B26" s="4" t="str">
        <x:v>Trabalho em evento</x:v>
      </x:c>
      <x:c r="C26" s="4" t="str">
        <x:v>PDF encontrado</x:v>
      </x:c>
      <x:c r="D26" s="4" t="str">
        <x:v>3; 4</x:v>
      </x:c>
      <x:c r="E26" s="4" t="str">
        <x:v>3.6; 4.1; 4.2; 4.3</x:v>
      </x:c>
      <x:c r="F26" s="4" t="str">
        <x:v>MARION, B. et al. Performance parameters for grid-connected PV systems. In: IEEE PHOTOVOLTAIC SPECIALISTS CONFERENCE, 31., 2005, [S. l.]. Conference Record of the Thirty-first IEEE Photovoltaic Specialists Conference, 2005. [S. l.]: IEEE, 2005. p. 1601-1606. DOI: https://doi.org/10.1109/pvsc.2005.1488451. Disponível em: https://doi.org/10.1109/pvsc.2005.1488451. Acesso em: 16 out. 2026.</x:v>
      </x:c>
      <x:c r="G26" s="4" t="str">
        <x:v>10.1109/pvsc.2005.1488451</x:v>
      </x:c>
      <x:c r="H26" s="4" t="str">
        <x:v>https://doi.org/10.1109/pvsc.2005.1488451</x:v>
      </x:c>
      <x:c r="I26" s="4" t="str">
        <x:v>A066</x:v>
      </x:c>
      <x:c r="J26" s="4" t="str">
        <x:v>Consultar a cópia na seção</x:v>
      </x:c>
      <x:c r="K26" s="4" t="str">
        <x:v>https://drive.google.com/file/d/1ZF6Z48AcSgmJKDliGFP3LVw1Vw88Pq5Y/view</x:v>
      </x:c>
    </x:row>
    <x:row r="27" ht="50.400001525878906" hidden="0" customHeight="1">
      <x:c r="A27" s="4" t="str">
        <x:v>B23</x:v>
      </x:c>
      <x:c r="B27" s="4" t="str">
        <x:v>Documento técnico</x:v>
      </x:c>
      <x:c r="C27" s="4" t="str">
        <x:v>PDF encontrado</x:v>
      </x:c>
      <x:c r="D27" s="4" t="str">
        <x:v>1</x:v>
      </x:c>
      <x:c r="E27" s="4" t="str">
        <x:v>1.1</x:v>
      </x:c>
      <x:c r="F27" s="4" t="str">
        <x:v>NOAA GLOBAL MONITORING LABORATORY. General Solar Position Calculations. [S. l.], [s.d.]. Disponível em: https://gml.noaa.gov/grad/solcalc/solareqns.PDF. Acesso em: 16 out. 2026.</x:v>
      </x:c>
      <x:c r="G27" s="4" t="str"/>
      <x:c r="H27" s="4" t="str">
        <x:v>https://gml.noaa.gov/grad/solcalc/solareqns.PDF</x:v>
      </x:c>
      <x:c r="I27" s="4" t="str">
        <x:v>A082</x:v>
      </x:c>
      <x:c r="J27" s="4" t="str">
        <x:v>Consultar a cópia na seção; PDF recebido e conferido em 18/10/2026</x:v>
      </x:c>
      <x:c r="K27" s="4" t="str">
        <x:v>https://drive.google.com/file/d/1ZF6Z48AcSgmJKDliGFP3LVw1Vw88Pq5Y/view</x:v>
      </x:c>
    </x:row>
    <x:row r="28" ht="50.400001525878906" hidden="0" customHeight="1">
      <x:c r="A28" s="4" t="str">
        <x:v>B24</x:v>
      </x:c>
      <x:c r="B28" s="4" t="str">
        <x:v>Documento técnico</x:v>
      </x:c>
      <x:c r="C28" s="4" t="str">
        <x:v>Dados no projeto</x:v>
      </x:c>
      <x:c r="D28" s="4" t="str">
        <x:v>1</x:v>
      </x:c>
      <x:c r="E28" s="4" t="str">
        <x:v>1.2; 1.3; 1.4</x:v>
      </x:c>
      <x:c r="F28" s="4" t="str">
        <x:v>OEDI / PVDAQ. PVDAQ public photovoltaic performance data — OEDI. [S. l.], [s.d.]. DOI: https://doi.org/10.25984/1846021. Disponível em: https://doi.org/10.25984/1846021. Acesso em: 16 out. 2026.</x:v>
      </x:c>
      <x:c r="G28" s="4" t="str">
        <x:v>10.25984/1846021</x:v>
      </x:c>
      <x:c r="H28" s="4" t="str">
        <x:v>https://doi.org/10.25984/1846021</x:v>
      </x:c>
      <x:c r="I28" s="4" t="str"/>
      <x:c r="J28" s="4" t="str">
        <x:v>Dados originais já no projeto; consultar DOI e documentação</x:v>
      </x:c>
      <x:c r="K28" s="4" t="str">
        <x:v>https://drive.google.com/file/d/1ZF6Z48AcSgmJKDliGFP3LVw1Vw88Pq5Y/view</x:v>
      </x:c>
    </x:row>
    <x:row r="29" ht="67.19999694824219" hidden="0" customHeight="1">
      <x:c r="A29" s="4" t="str">
        <x:v>B25</x:v>
      </x:c>
      <x:c r="B29" s="4" t="str">
        <x:v>Artigo</x:v>
      </x:c>
      <x:c r="C29" s="4" t="str">
        <x:v>PDF encontrado</x:v>
      </x:c>
      <x:c r="D29" s="4" t="str">
        <x:v>2; 3</x:v>
      </x:c>
      <x:c r="E29" s="4" t="str">
        <x:v>2.2; 3.1</x:v>
      </x:c>
      <x:c r="F29" s="4" t="str">
        <x:v>PEREZ, R. et al. Modeling daylight availability and irradiance components from direct and global irradiance. Solar Energy, [S. l.], v. 44, n. 5, p. 271-289, 1990. DOI: https://doi.org/10.1016/0038-092x(90)90055-h. Disponível em: https://doi.org/10.1016/0038-092x(90)90055-h. Acesso em: 16 out. 2026.</x:v>
      </x:c>
      <x:c r="G29" s="4" t="str">
        <x:v>10.1016/0038-092x(90)90055-h</x:v>
      </x:c>
      <x:c r="H29" s="4" t="str">
        <x:v>https://doi.org/10.1016/0038-092x(90)90055-h</x:v>
      </x:c>
      <x:c r="I29" s="4" t="str">
        <x:v>A083</x:v>
      </x:c>
      <x:c r="J29" s="4" t="str">
        <x:v>Consultar a cópia na seção; PDF recebido e conferido em 18/10/2026</x:v>
      </x:c>
      <x:c r="K29" s="4" t="str">
        <x:v>https://drive.google.com/file/d/1ZF6Z48AcSgmJKDliGFP3LVw1Vw88Pq5Y/view</x:v>
      </x:c>
    </x:row>
    <x:row r="30" ht="50.400001525878906" hidden="0" customHeight="1">
      <x:c r="A30" s="4" t="str">
        <x:v>B26</x:v>
      </x:c>
      <x:c r="B30" s="4" t="str">
        <x:v>Documento técnico</x:v>
      </x:c>
      <x:c r="C30" s="4" t="str">
        <x:v>Fonte online</x:v>
      </x:c>
      <x:c r="D30" s="4" t="str">
        <x:v>1; 2; 4</x:v>
      </x:c>
      <x:c r="E30" s="4" t="str">
        <x:v>1.3; 1.4; 2.3; 4.1; 4.4</x:v>
      </x:c>
      <x:c r="F30" s="4" t="str">
        <x:v>PV ANALYTICS WEBINAR. Solar Data Tools demo — Farm Solar Array. [S. l.], 2024. Disponível em: https://pv-tutorials.github.io/2024_Analytics_Webinar/solar-data-tools-demo.html. Acesso em: 16 out. 2026.</x:v>
      </x:c>
      <x:c r="G30" s="4" t="str"/>
      <x:c r="H30" s="4" t="str">
        <x:v>https://pv-tutorials.github.io/2024_Analytics_Webinar/solar-data-tools-demo.html</x:v>
      </x:c>
      <x:c r="I30" s="4" t="str"/>
      <x:c r="J30" s="4" t="str">
        <x:v>Consultar a documentação online; PDF não é o formato original</x:v>
      </x:c>
      <x:c r="K30" s="4" t="str">
        <x:v>https://drive.google.com/file/d/1ZF6Z48AcSgmJKDliGFP3LVw1Vw88Pq5Y/view</x:v>
      </x:c>
    </x:row>
    <x:row r="31" ht="50.400001525878906" hidden="0" customHeight="1">
      <x:c r="A31" s="4" t="str">
        <x:v>B27</x:v>
      </x:c>
      <x:c r="B31" s="4" t="str">
        <x:v>Documento técnico</x:v>
      </x:c>
      <x:c r="C31" s="4" t="str">
        <x:v>Fonte online</x:v>
      </x:c>
      <x:c r="D31" s="4" t="str">
        <x:v>1</x:v>
      </x:c>
      <x:c r="E31" s="4" t="str">
        <x:v>1.4</x:v>
      </x:c>
      <x:c r="F31" s="4" t="str">
        <x:v>PVDAQ / OPENEDI. PVDAQ access tools and openEDI documentation. [S. l.], [s.d.]. Disponível em: https://github.com/NatLabRockies/pvdaq_access. Acesso em: 16 out. 2026.</x:v>
      </x:c>
      <x:c r="G31" s="4" t="str"/>
      <x:c r="H31" s="4" t="str">
        <x:v>https://github.com/NatLabRockies/pvdaq_access</x:v>
      </x:c>
      <x:c r="I31" s="4" t="str"/>
      <x:c r="J31" s="4" t="str">
        <x:v>Consultar a documentação online; PDF não é o formato original</x:v>
      </x:c>
      <x:c r="K31" s="4" t="str">
        <x:v>https://drive.google.com/file/d/1ZF6Z48AcSgmJKDliGFP3LVw1Vw88Pq5Y/view</x:v>
      </x:c>
    </x:row>
    <x:row r="32" ht="67.19999694824219" hidden="0" customHeight="1">
      <x:c r="A32" s="4" t="str">
        <x:v>B28</x:v>
      </x:c>
      <x:c r="B32" s="4" t="str">
        <x:v>Documento técnico</x:v>
      </x:c>
      <x:c r="C32" s="4" t="str">
        <x:v>Fonte online</x:v>
      </x:c>
      <x:c r="D32" s="4" t="str">
        <x:v>3</x:v>
      </x:c>
      <x:c r="E32" s="4" t="str">
        <x:v>3.3; 3.4</x:v>
      </x:c>
      <x:c r="F32" s="4" t="str">
        <x:v>PVLIB CONTRIBUTORS. calcparams_cec and retrieve_sam — pvlib 0.16.1. [S. l.], 2026. Disponível em: https://pvlib-python.readthedocs.io/en/v0.16.1/reference/generated/pvlib.pvsystem.calcparams_cec.html. Acesso em: 16 out. 2026.</x:v>
      </x:c>
      <x:c r="G32" s="4" t="str"/>
      <x:c r="H32" s="4" t="str">
        <x:v>https://pvlib-python.readthedocs.io/en/v0.16.1/reference/generated/pvlib.pvsystem.calcparams_cec.html</x:v>
      </x:c>
      <x:c r="I32" s="4" t="str"/>
      <x:c r="J32" s="4" t="str">
        <x:v>Consultar a documentação online; PDF não é o formato original</x:v>
      </x:c>
      <x:c r="K32" s="4" t="str">
        <x:v>https://drive.google.com/file/d/1ZF6Z48AcSgmJKDliGFP3LVw1Vw88Pq5Y/view</x:v>
      </x:c>
    </x:row>
    <x:row r="33" ht="67.19999694824219" hidden="0" customHeight="1">
      <x:c r="A33" s="4" t="str">
        <x:v>B29</x:v>
      </x:c>
      <x:c r="B33" s="4" t="str">
        <x:v>Documento técnico</x:v>
      </x:c>
      <x:c r="C33" s="4" t="str">
        <x:v>Fonte online</x:v>
      </x:c>
      <x:c r="D33" s="4" t="str">
        <x:v>1</x:v>
      </x:c>
      <x:c r="E33" s="4" t="str">
        <x:v>1.1</x:v>
      </x:c>
      <x:c r="F33" s="4" t="str">
        <x:v>PVLIB CONTRIBUTORS. get_extra_radiation — Spencer method; pvlib 0.16.1. [S. l.], 2026. Disponível em: https://pvlib-python.readthedocs.io/en/v0.16.1/reference/generated/pvlib.irradiance.get_extra_radiation.html. Acesso em: 16 out. 2026.</x:v>
      </x:c>
      <x:c r="G33" s="4" t="str"/>
      <x:c r="H33" s="4" t="str">
        <x:v>https://pvlib-python.readthedocs.io/en/v0.16.1/reference/generated/pvlib.irradiance.get_extra_radiation.html</x:v>
      </x:c>
      <x:c r="I33" s="4" t="str"/>
      <x:c r="J33" s="4" t="str">
        <x:v>Consultar a documentação online; PDF não é o formato original</x:v>
      </x:c>
      <x:c r="K33" s="4" t="str">
        <x:v>https://drive.google.com/file/d/1ZF6Z48AcSgmJKDliGFP3LVw1Vw88Pq5Y/view</x:v>
      </x:c>
    </x:row>
    <x:row r="34" ht="67.19999694824219" hidden="0" customHeight="1">
      <x:c r="A34" s="4" t="str">
        <x:v>B30</x:v>
      </x:c>
      <x:c r="B34" s="4" t="str">
        <x:v>Documento técnico</x:v>
      </x:c>
      <x:c r="C34" s="4" t="str">
        <x:v>Fonte online</x:v>
      </x:c>
      <x:c r="D34" s="4" t="str">
        <x:v>3</x:v>
      </x:c>
      <x:c r="E34" s="4" t="str">
        <x:v>3.1</x:v>
      </x:c>
      <x:c r="F34" s="4" t="str">
        <x:v>PVLIB CONTRIBUTORS. ghi_from_poa_driesse_2024 — pvlib 0.16.1. [S. l.], 2026. Disponível em: https://pvlib-python.readthedocs.io/en/v0.16.1/reference/generated/pvlib.irradiance.ghi_from_poa_driesse_2024.html. Acesso em: 16 out. 2026.</x:v>
      </x:c>
      <x:c r="G34" s="4" t="str"/>
      <x:c r="H34" s="4" t="str">
        <x:v>https://pvlib-python.readthedocs.io/en/v0.16.1/reference/generated/pvlib.irradiance.ghi_from_poa_driesse_2024.html</x:v>
      </x:c>
      <x:c r="I34" s="4" t="str"/>
      <x:c r="J34" s="4" t="str">
        <x:v>Consultar a documentação online; PDF não é o formato original</x:v>
      </x:c>
      <x:c r="K34" s="4" t="str">
        <x:v>https://drive.google.com/file/d/1ZF6Z48AcSgmJKDliGFP3LVw1Vw88Pq5Y/view</x:v>
      </x:c>
    </x:row>
    <x:row r="35" ht="50.400001525878906" hidden="0" customHeight="1">
      <x:c r="A35" s="4" t="str">
        <x:v>B31</x:v>
      </x:c>
      <x:c r="B35" s="4" t="str">
        <x:v>Artigo</x:v>
      </x:c>
      <x:c r="C35" s="4" t="str">
        <x:v>PDF encontrado</x:v>
      </x:c>
      <x:c r="D35" s="4" t="str">
        <x:v>1</x:v>
      </x:c>
      <x:c r="E35" s="4" t="str">
        <x:v>1.1</x:v>
      </x:c>
      <x:c r="F35" s="4" t="str">
        <x:v>REDA, I.; ANDREAS, A. Solar position algorithm for solar radiation applications. Solar Energy, [S. l.], v. 76, n. 5, p. 577-589, 2004. DOI: https://doi.org/10.1016/j.solener.2003.12.003. Disponível em: https://doi.org/10.1016/j.solener.2003.12.003. Acesso em: 16 out. 2026.</x:v>
      </x:c>
      <x:c r="G35" s="4" t="str">
        <x:v>10.1016/j.solener.2003.12.003</x:v>
      </x:c>
      <x:c r="H35" s="4" t="str">
        <x:v>https://doi.org/10.1016/j.solener.2003.12.003</x:v>
      </x:c>
      <x:c r="I35" s="4" t="str">
        <x:v>A084</x:v>
      </x:c>
      <x:c r="J35" s="4" t="str">
        <x:v>Consultar a cópia na seção; PDF recebido e conferido em 18/10/2026</x:v>
      </x:c>
      <x:c r="K35" s="4" t="str">
        <x:v>https://drive.google.com/file/d/1ZF6Z48AcSgmJKDliGFP3LVw1Vw88Pq5Y/view</x:v>
      </x:c>
    </x:row>
    <x:row r="36" ht="50.400001525878906" hidden="0" customHeight="1">
      <x:c r="A36" s="4" t="str">
        <x:v>B32</x:v>
      </x:c>
      <x:c r="B36" s="4" t="str">
        <x:v>Documento técnico</x:v>
      </x:c>
      <x:c r="C36" s="4" t="str">
        <x:v>PDF encontrado</x:v>
      </x:c>
      <x:c r="D36" s="4" t="str">
        <x:v>1; 2</x:v>
      </x:c>
      <x:c r="E36" s="4" t="str">
        <x:v>1.1; 2.4</x:v>
      </x:c>
      <x:c r="F36" s="4" t="str">
        <x:v>REDA, I.; ANDREAS, A. Solar Position Algorithm for Solar Radiation Applications — NREL/TP-560-34302. [S. l.], 2008. Disponível em: https://docs.nlr.gov/docs/fy08osti/34302.pdf. Acesso em: 16 out. 2026.</x:v>
      </x:c>
      <x:c r="G36" s="4" t="str"/>
      <x:c r="H36" s="4" t="str">
        <x:v>https://docs.nlr.gov/docs/fy08osti/34302.pdf</x:v>
      </x:c>
      <x:c r="I36" s="4" t="str">
        <x:v>A065</x:v>
      </x:c>
      <x:c r="J36" s="4" t="str">
        <x:v>Consultar a cópia na seção</x:v>
      </x:c>
      <x:c r="K36" s="4" t="str">
        <x:v>https://drive.google.com/file/d/1ZF6Z48AcSgmJKDliGFP3LVw1Vw88Pq5Y/view</x:v>
      </x:c>
    </x:row>
    <x:row r="37" ht="67.19999694824219" hidden="0" customHeight="1">
      <x:c r="A37" s="4" t="str">
        <x:v>B33</x:v>
      </x:c>
      <x:c r="B37" s="4" t="str">
        <x:v>Documento técnico</x:v>
      </x:c>
      <x:c r="C37" s="4" t="str">
        <x:v>Fonte online</x:v>
      </x:c>
      <x:c r="D37" s="4" t="str">
        <x:v>4</x:v>
      </x:c>
      <x:c r="E37" s="4" t="str">
        <x:v>4.2; 4.3</x:v>
      </x:c>
      <x:c r="F37" s="4" t="str">
        <x:v>SANDIA NATIONAL LABORATORIES / PVPMC. Performance Ratio. [S. l.], [s.d.]. Disponível em: https://pvpmc.sandia.gov/modeling-guide/5-ac-system-output/pv-performance-metrics/performance-ratio/. Acesso em: 16 out. 2026.</x:v>
      </x:c>
      <x:c r="G37" s="4" t="str"/>
      <x:c r="H37" s="4" t="str">
        <x:v>https://pvpmc.sandia.gov/modeling-guide/5-ac-system-output/pv-performance-metrics/performance-ratio/</x:v>
      </x:c>
      <x:c r="I37" s="4" t="str"/>
      <x:c r="J37" s="4" t="str">
        <x:v>Consultar a documentação online; PDF não é o formato original</x:v>
      </x:c>
      <x:c r="K37" s="4" t="str">
        <x:v>https://drive.google.com/file/d/1ZF6Z48AcSgmJKDliGFP3LVw1Vw88Pq5Y/view</x:v>
      </x:c>
    </x:row>
    <x:row r="38" ht="67.19999694824219" hidden="0" customHeight="1">
      <x:c r="A38" s="4" t="str">
        <x:v>B34</x:v>
      </x:c>
      <x:c r="B38" s="4" t="str">
        <x:v>Documento técnico</x:v>
      </x:c>
      <x:c r="C38" s="4" t="str">
        <x:v>Fonte online</x:v>
      </x:c>
      <x:c r="D38" s="4" t="str">
        <x:v>2</x:v>
      </x:c>
      <x:c r="E38" s="4" t="str">
        <x:v>2.2; 2.4</x:v>
      </x:c>
      <x:c r="F38" s="4" t="str">
        <x:v>SANDIA NATIONAL LABORATORIES / PVPMC. Plane of Array (POA) Irradiance. [S. l.], [s.d.]. Disponível em: https://pvpmc.sandia.gov/modeling-guide/1-weather-design-inputs/plane-of-array-poa-irradiance/. Acesso em: 16 out. 2026.</x:v>
      </x:c>
      <x:c r="G38" s="4" t="str"/>
      <x:c r="H38" s="4" t="str">
        <x:v>https://pvpmc.sandia.gov/modeling-guide/1-weather-design-inputs/plane-of-array-poa-irradiance/</x:v>
      </x:c>
      <x:c r="I38" s="4" t="str"/>
      <x:c r="J38" s="4" t="str">
        <x:v>Consultar a documentação online; PDF não é o formato original</x:v>
      </x:c>
      <x:c r="K38" s="4" t="str">
        <x:v>https://drive.google.com/file/d/1ZF6Z48AcSgmJKDliGFP3LVw1Vw88Pq5Y/view</x:v>
      </x:c>
    </x:row>
    <x:row r="39" ht="67.19999694824219" hidden="0" customHeight="1">
      <x:c r="A39" s="4" t="str">
        <x:v>B35</x:v>
      </x:c>
      <x:c r="B39" s="4" t="str">
        <x:v>Documento técnico</x:v>
      </x:c>
      <x:c r="C39" s="4" t="str">
        <x:v>Fonte online</x:v>
      </x:c>
      <x:c r="D39" s="4" t="str">
        <x:v>2</x:v>
      </x:c>
      <x:c r="E39" s="4" t="str">
        <x:v>2.3</x:v>
      </x:c>
      <x:c r="F39" s="4" t="str">
        <x:v>SANDIA NATIONAL LABORATORIES / PVPMC. Soiling Losses. [S. l.], [s.d.]. Disponível em: https://pvpmc.sandia.gov/modeling-guide/1-weather-design-inputs/shading-soiling-and-reflection-losses/soiling-losses/. Acesso em: 16 out. 2026.</x:v>
      </x:c>
      <x:c r="G39" s="4" t="str"/>
      <x:c r="H39" s="4" t="str">
        <x:v>https://pvpmc.sandia.gov/modeling-guide/1-weather-design-inputs/shading-soiling-and-reflection-losses/soiling-losses/</x:v>
      </x:c>
      <x:c r="I39" s="4" t="str"/>
      <x:c r="J39" s="4" t="str">
        <x:v>Consultar a documentação online; PDF não é o formato original</x:v>
      </x:c>
      <x:c r="K39" s="4" t="str">
        <x:v>https://drive.google.com/file/d/1ZF6Z48AcSgmJKDliGFP3LVw1Vw88Pq5Y/view</x:v>
      </x:c>
    </x:row>
    <x:row r="40" ht="67.19999694824219" hidden="0" customHeight="1">
      <x:c r="A40" s="4" t="str">
        <x:v>B36</x:v>
      </x:c>
      <x:c r="B40" s="4" t="str">
        <x:v>Relatório técnico</x:v>
      </x:c>
      <x:c r="C40" s="4" t="str">
        <x:v>PDF encontrado</x:v>
      </x:c>
      <x:c r="D40" s="4" t="str">
        <x:v>1; 3</x:v>
      </x:c>
      <x:c r="E40" s="4" t="str">
        <x:v>1.2; 1.3; 1.4; 3.1</x:v>
      </x:c>
      <x:c r="F40" s="4" t="str">
        <x:v>SENGUPTA, M. et al. Best Practices Handbook for the Collection and Use of Solar Resource Data for Solar Energy Applications: Third Edition. [S. l.]: Office of Scientific and Technical Information (OSTI), 2021. DOI: https://doi.org/10.2172/1778700. Disponível em: https://doi.org/10.2172/1778700. Acesso em: 16 out. 2026.</x:v>
      </x:c>
      <x:c r="G40" s="4" t="str">
        <x:v>10.2172/1778700</x:v>
      </x:c>
      <x:c r="H40" s="4" t="str">
        <x:v>https://doi.org/10.2172/1778700</x:v>
      </x:c>
      <x:c r="I40" s="4" t="str">
        <x:v>A088</x:v>
      </x:c>
      <x:c r="J40" s="4" t="str">
        <x:v>3ª edição disponível no formato IEA PVPS (331 p., ISBN 978-3-907281-19-2); DOI do guia corresponde ao formato NREL. Usar a referência da versão consultada, registrada em A088.</x:v>
      </x:c>
      <x:c r="K40" s="4" t="str">
        <x:v>https://drive.google.com/file/d/1ZF6Z48AcSgmJKDliGFP3LVw1Vw88Pq5Y/view</x:v>
      </x:c>
    </x:row>
    <x:row r="41" ht="67.19999694824219" hidden="0" customHeight="1">
      <x:c r="A41" s="4" t="str">
        <x:v>B37</x:v>
      </x:c>
      <x:c r="B41" s="4" t="str">
        <x:v>Artigo</x:v>
      </x:c>
      <x:c r="C41" s="4" t="str">
        <x:v>PDF encontrado</x:v>
      </x:c>
      <x:c r="D41" s="4" t="str">
        <x:v>2; 3</x:v>
      </x:c>
      <x:c r="E41" s="4" t="str">
        <x:v>2.1; 3.2</x:v>
      </x:c>
      <x:c r="F41" s="4" t="str">
        <x:v>SKOPLAKI, E.; PALYVOS, J. A. On the temperature dependence of photovoltaic module electrical performance: A review of efficiency/power correlations. Solar Energy, [S. l.], v. 83, n. 5, p. 614-624, 2009. DOI: https://doi.org/10.1016/j.solener.2008.10.008. Disponível em: https://doi.org/10.1016/j.solener.2008.10.008. Acesso em: 16 out. 2026.</x:v>
      </x:c>
      <x:c r="G41" s="4" t="str">
        <x:v>10.1016/j.solener.2008.10.008</x:v>
      </x:c>
      <x:c r="H41" s="4" t="str">
        <x:v>https://doi.org/10.1016/j.solener.2008.10.008</x:v>
      </x:c>
      <x:c r="I41" s="4" t="str">
        <x:v>A024</x:v>
      </x:c>
      <x:c r="J41" s="4" t="str">
        <x:v>Consultar a cópia na seção</x:v>
      </x:c>
      <x:c r="K41" s="4" t="str">
        <x:v>https://drive.google.com/file/d/1ZF6Z48AcSgmJKDliGFP3LVw1Vw88Pq5Y/view</x:v>
      </x:c>
    </x:row>
    <x:row r="42" ht="67.19999694824219" hidden="0" customHeight="1">
      <x:c r="A42" s="4" t="str">
        <x:v>B38</x:v>
      </x:c>
      <x:c r="B42" s="4" t="str">
        <x:v>Artigo</x:v>
      </x:c>
      <x:c r="C42" s="4" t="str">
        <x:v>PDF encontrado</x:v>
      </x:c>
      <x:c r="D42" s="4" t="str">
        <x:v>3</x:v>
      </x:c>
      <x:c r="E42" s="4" t="str">
        <x:v>3.3; 3.4</x:v>
      </x:c>
      <x:c r="F42" s="4" t="str">
        <x:v>VILLALVA, M. G.; GAZOLI, J. R.; RUPPERT FILHO, E. Comprehensive Approach to Modeling and Simulation of Photovoltaic Arrays. IEEE Transactions on Power Electronics, [S. l.], v. 24, n. 5, p. 1198-1208, 2009. DOI: https://doi.org/10.1109/tpel.2009.2013862. Disponível em: https://doi.org/10.1109/tpel.2009.2013862. Acesso em: 16 out. 2026.</x:v>
      </x:c>
      <x:c r="G42" s="4" t="str">
        <x:v>10.1109/tpel.2009.2013862</x:v>
      </x:c>
      <x:c r="H42" s="4" t="str">
        <x:v>https://doi.org/10.1109/tpel.2009.2013862</x:v>
      </x:c>
      <x:c r="I42" s="4" t="str">
        <x:v>A085</x:v>
      </x:c>
      <x:c r="J42" s="4" t="str">
        <x:v>Consultar a cópia na seção; PDF recebido e conferido em 18/10/2026</x:v>
      </x:c>
      <x:c r="K42" s="4" t="str">
        <x:v>https://drive.google.com/file/d/1ZF6Z48AcSgmJKDliGFP3LVw1Vw88Pq5Y/view</x:v>
      </x:c>
    </x:row>
    <x:row r="43" ht="67.19999694824219" hidden="0" customHeight="1">
      <x:c r="A43" s="4" t="str">
        <x:v>B39</x:v>
      </x:c>
      <x:c r="B43" s="4" t="str">
        <x:v>Artigo</x:v>
      </x:c>
      <x:c r="C43" s="4" t="str">
        <x:v>PDF encontrado</x:v>
      </x:c>
      <x:c r="D43" s="4" t="str">
        <x:v>4</x:v>
      </x:c>
      <x:c r="E43" s="4" t="str">
        <x:v>4.4</x:v>
      </x:c>
      <x:c r="F43" s="4" t="str">
        <x:v>WILLMOTT, C. J.; MATSUURA, K. Advantages of the mean absolute error (MAE) over the root mean square error (RMSE) in assessing average model performance. Climate Research, [S. l.], v. 30, p. 79-82, 2005. DOI: https://doi.org/10.3354/cr030079. Disponível em: https://doi.org/10.3354/cr030079. Acesso em: 16 out. 2026.</x:v>
      </x:c>
      <x:c r="G43" s="4" t="str">
        <x:v>10.3354/cr030079</x:v>
      </x:c>
      <x:c r="H43" s="4" t="str">
        <x:v>https://doi.org/10.3354/cr030079</x:v>
      </x:c>
      <x:c r="I43" s="4" t="str">
        <x:v>A035</x:v>
      </x:c>
      <x:c r="J43" s="4" t="str">
        <x:v>Consultar a cópia na seção</x:v>
      </x:c>
      <x:c r="K43" s="4" t="str">
        <x:v>https://drive.google.com/file/d/1ZF6Z48AcSgmJKDliGFP3LVw1Vw88Pq5Y/view</x:v>
      </x:c>
    </x:row>
    <x:row r="44" ht="50.400001525878906" hidden="0" customHeight="1">
      <x:c r="A44" s="4" t="str">
        <x:v>N01</x:v>
      </x:c>
      <x:c r="B44" s="4" t="str">
        <x:v>Norma técnica</x:v>
      </x:c>
      <x:c r="C44" s="4" t="str">
        <x:v>PDF não localizado</x:v>
      </x:c>
      <x:c r="D44" s="4" t="str">
        <x:v>4</x:v>
      </x:c>
      <x:c r="E44" s="4" t="str">
        <x:v>4.1; 4.2; 4.3</x:v>
      </x:c>
      <x:c r="F44" s="4" t="str">
        <x:v>INTERNATIONAL ELECTROTECHNICAL COMMISSION. IEC 61724-1:2021: photovoltaic system performance — Part 1: monitoring. 2. ed. Geneva: IEC, 2021. 136 p.</x:v>
      </x:c>
      <x:c r="G44" s="4" t="str"/>
      <x:c r="H44" s="4" t="str">
        <x:v>https://webstore.iec.ch/en/publication/65561</x:v>
      </x:c>
      <x:c r="I44" s="4" t="str"/>
      <x:c r="J44" s="4" t="str">
        <x:v>IEC 61724-1:2021 continua pendente. Login SIGAA confirmado; a página da Target e a licença da norma não foram confirmadas. A093 apoia monitoramento e indicadores, mas não substitui a norma. Ver Alternativas_e_Acesso.md.</x:v>
      </x:c>
      <x:c r="K44" s="4" t="str">
        <x:v>https://webstore.iec.ch/en/publication/65561</x:v>
      </x:c>
    </x:row>
  </x:sheetData>
  <x:mergeCells>
    <x:mergeCell ref="B2:K2"/>
    <x:mergeCell ref="B3:K3"/>
  </x:mergeCells>
  <x:conditionalFormatting sqref="C5:C43">
    <x:cfRule type="containsText" dxfId="0" priority="1" operator="containsText" text="não localizado"/>
    <x:cfRule type="containsText" dxfId="1" priority="2" operator="containsText" text="Outra edição"/>
  </x:conditionalFormatting>
  <x:dataValidations count="1">
    <x:dataValidation type="list" sqref="C5:C44">
      <x:formula1>"PDF encontrado,PDF não localizado,Outra edição disponível,Fonte online,Dados no projeto,PDF parcial"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94c765c0804a4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90" hidden="0" customWidth="1"/>
    <x:col min="3" max="3" width="42" hidden="0" customWidth="1"/>
    <x:col min="4" max="4" width="12" hidden="0" customWidth="1"/>
    <x:col min="5" max="5" width="16" hidden="0" customWidth="1"/>
    <x:col min="6" max="6" width="42" hidden="0" customWidth="1"/>
    <x:col min="7" max="7" width="25" hidden="0" customWidth="1"/>
    <x:col min="8" max="8" width="17" hidden="0" customWidth="1"/>
    <x:col min="9" max="9" width="50" hidden="0" customWidth="1"/>
    <x:col min="10" max="10" width="62" hidden="0" customWidth="1"/>
    <x:col min="11" max="11" width="68" hidden="0" customWidth="1"/>
    <x:col min="12" max="12" width="68" hidden="0" customWidth="1"/>
    <x:col min="13" max="13" width="68" hidden="0" customWidth="1"/>
    <x:col min="14" max="14" width="68" hidden="0" customWidth="1"/>
    <x:col min="15" max="15" width="68" hidden="0" customWidth="1"/>
    <x:col min="16" max="16" width="100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</x:cols>
  <x:sheetData>
    <x:row r="2" ht="34" customHeight="1">
      <x:c r="A2" s="4"/>
      <x:c r="B2" s="20" t="str">
        <x:v>Acervo para consulta nas quatro seções</x:v>
      </x:c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</x:row>
    <x:row r="3" ht="30" customHeight="1">
      <x:c r="A3" s="4"/>
      <x:c r="B3" s="22" t="str">
        <x:v>A001–A089, A092 e A093 compõem o acervo ativo. A090 e A091 foram retirados e não serão reutilizados.</x:v>
      </x:c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48" customHeight="1">
      <x:c r="A4" s="7" t="str">
        <x:v>Código</x:v>
      </x:c>
      <x:c r="B4" s="7" t="str">
        <x:v>Obra</x:v>
      </x:c>
      <x:c r="C4" s="7" t="str">
        <x:v>Autoria</x:v>
      </x:c>
      <x:c r="D4" s="7" t="str">
        <x:v>Ano</x:v>
      </x:c>
      <x:c r="E4" s="7" t="str">
        <x:v>Seções</x:v>
      </x:c>
      <x:c r="F4" s="7" t="str">
        <x:v>Subseções</x:v>
      </x:c>
      <x:c r="G4" s="7" t="str">
        <x:v>Tipo</x:v>
      </x:c>
      <x:c r="H4" s="7" t="str">
        <x:v>Códigos B</x:v>
      </x:c>
      <x:c r="I4" s="7" t="str">
        <x:v>DOI</x:v>
      </x:c>
      <x:c r="J4" s="7" t="str">
        <x:v>Nome original</x:v>
      </x:c>
      <x:c r="K4" s="7" t="str">
        <x:v>Original no Drive</x:v>
      </x:c>
      <x:c r="L4" s="7" t="str">
        <x:v>Cópia seção 1</x:v>
      </x:c>
      <x:c r="M4" s="7" t="str">
        <x:v>Cópia seção 2</x:v>
      </x:c>
      <x:c r="N4" s="7" t="str">
        <x:v>Cópia seção 3</x:v>
      </x:c>
      <x:c r="O4" s="7" t="str">
        <x:v>Cópia seção 4</x:v>
      </x:c>
      <x:c r="P4" s="7" t="str">
        <x:v>Observações</x:v>
      </x:c>
      <x:c r="Q4" s="7" t="str">
        <x:v>Pertence à seção 1</x:v>
      </x:c>
      <x:c r="R4" s="7" t="str">
        <x:v>Pertence à seção 2</x:v>
      </x:c>
      <x:c r="S4" s="7" t="str">
        <x:v>Pertence à seção 3</x:v>
      </x:c>
      <x:c r="T4" s="7" t="str">
        <x:v>Pertence à seção 4</x:v>
      </x:c>
    </x:row>
    <x:row r="5" ht="33.599998474121094" hidden="0" customHeight="1">
      <x:c r="A5" s="4" t="str">
        <x:v>A001</x:v>
      </x:c>
      <x:c r="B5" s="4" t="str">
        <x:v>Solar Engineering of Thermal Processes, Photovoltaics and Wind</x:v>
      </x:c>
      <x:c r="C5" s="4" t="str">
        <x:v>Duffie; Beckman; Blair</x:v>
      </x:c>
      <x:c r="D5" s="11" t="n">
        <x:v>2020</x:v>
      </x:c>
      <x:c r="E5" s="10" t="str">
        <x:v>1; 2; 3; 4</x:v>
      </x:c>
      <x:c r="F5" s="4" t="str">
        <x:v>1.1; 1.2; 1.3; 1.4; 2.1; 2.2; 2.3; 2.4; 3.1; 3.2; 3.3; 3.4; 3.5; 3.6; 4.2; 4.3</x:v>
      </x:c>
      <x:c r="G5" s="4" t="str">
        <x:v>Livros</x:v>
      </x:c>
      <x:c r="H5" s="4" t="str">
        <x:v>B12</x:v>
      </x:c>
      <x:c r="I5" s="4" t="str">
        <x:v>10.1002/9781119540328</x:v>
      </x:c>
      <x:c r="J5" s="4" t="str">
        <x:v>DUFFIE; BECKMAN; BLAIR (2020)</x:v>
      </x:c>
      <x:c r="K5" s="4" t="str">
        <x:v>https://drive.google.com/file/d/1vDrVOW5ffjeYFZkUtqbM5CS_PqbYn6Ok/view?usp=drivesdk</x:v>
      </x:c>
      <x:c r="L5" s="4" t="str">
        <x:v>https://drive.google.com/file/d/1FRN89M_tXpON-3OFe5K06p9xt3nqfl7u/view?usp=drivesdk</x:v>
      </x:c>
      <x:c r="M5" s="4" t="str">
        <x:v>https://drive.google.com/file/d/1F1bL0FCYqA3y86NPUZOMy0GDccrAhku_/view?usp=drivesdk</x:v>
      </x:c>
      <x:c r="N5" s="4" t="str">
        <x:v>https://drive.google.com/file/d/1vEBwJESlLIvzp9iEJt4tT9JHas6NUaxn/view?usp=drivesdk</x:v>
      </x:c>
      <x:c r="O5" s="4" t="str">
        <x:v>https://drive.google.com/file/d/1lg_IoL3z_FHZEUD4uzDMAqqxEo_LQbwi/view?usp=drivesdk</x:v>
      </x:c>
      <x:c r="P5" s="4" t="str">
        <x:v>5ª edição confirmada no PDF, com 919 páginas digitais e índice até a página impressa 905. Alternativa de trabalho adotada para B19, em conjunto com A003. Citar Duffie, Beckman e Blair (2020) ao usar este arquivo.</x:v>
      </x:c>
      <x:c r="Q5" s="4" t="n">
        <x:v>1</x:v>
      </x:c>
      <x:c r="R5" s="4" t="n">
        <x:v>1</x:v>
      </x:c>
      <x:c r="S5" s="4" t="n">
        <x:v>1</x:v>
      </x:c>
      <x:c r="T5" s="4" t="n">
        <x:v>1</x:v>
      </x:c>
    </x:row>
    <x:row r="6" ht="33.599998474121094" hidden="0" customHeight="1">
      <x:c r="A6" s="4" t="str">
        <x:v>A002</x:v>
      </x:c>
      <x:c r="B6" s="4" t="str">
        <x:v>Solar Engineering of Thermal Processes</x:v>
      </x:c>
      <x:c r="C6" s="4" t="str">
        <x:v>Duffie; Beckman</x:v>
      </x:c>
      <x:c r="D6" s="11" t="n">
        <x:v>2006</x:v>
      </x:c>
      <x:c r="E6" s="10" t="str">
        <x:v>1; 2; 3</x:v>
      </x:c>
      <x:c r="F6" s="4" t="str">
        <x:v>1.1; 1.2; 1.3; 1.4; 2.1; 2.2; 2.4; 3.1</x:v>
      </x:c>
      <x:c r="G6" s="4" t="str">
        <x:v>Livros</x:v>
      </x:c>
      <x:c r="H6" s="4" t="str"/>
      <x:c r="I6" s="4" t="str"/>
      <x:c r="J6" s="4" t="str">
        <x:v>DUFFIE, J. A.; BECKMAN, W. A. (2013)</x:v>
      </x:c>
      <x:c r="K6" s="4" t="str">
        <x:v>https://drive.google.com/file/d/1vu3fHcY5JsK4hiyjt4ETDsOIjR8KxIPi/view?usp=drivesdk</x:v>
      </x:c>
      <x:c r="L6" s="4" t="str">
        <x:v>https://drive.google.com/file/d/1xlfq48y8dHOZ717R7lxmwbZuIt99vs39/view?usp=drivesdk</x:v>
      </x:c>
      <x:c r="M6" s="4" t="str">
        <x:v>https://drive.google.com/file/d/1XMgiiVS2EkwuUaITmOMF7IUP5a4gbUeh/view?usp=drivesdk</x:v>
      </x:c>
      <x:c r="N6" s="4" t="str">
        <x:v>https://drive.google.com/file/d/1dh0L9p-tL7iJkdyqLgPoY8FS-6pIq07A/view?usp=drivesdk</x:v>
      </x:c>
      <x:c r="O6" s="4" t="str"/>
      <x:c r="P6" s="4" t="str">
        <x:v>Nome original informa 2013; capa e copyright mostram 3ª edição, 2006. Não representa a 4ª edição de 2013. Há outra entrada com mesmo tamanho e rótulo 2013; equivalência binária não verificada.</x:v>
      </x:c>
      <x:c r="Q6" s="4" t="n">
        <x:v>1</x:v>
      </x:c>
      <x:c r="R6" s="4" t="n">
        <x:v>1</x:v>
      </x:c>
      <x:c r="S6" s="4" t="n">
        <x:v>1</x:v>
      </x:c>
      <x:c r="T6" s="4" t="n">
        <x:v>0</x:v>
      </x:c>
    </x:row>
    <x:row r="7" ht="33.599998474121094" hidden="0" customHeight="1">
      <x:c r="A7" s="4" t="str">
        <x:v>A003</x:v>
      </x:c>
      <x:c r="B7" s="4" t="str">
        <x:v>Solar Energy: Fundamentals, Technology, and Systems</x:v>
      </x:c>
      <x:c r="C7" s="4" t="str">
        <x:v>Jäger et al.</x:v>
      </x:c>
      <x:c r="D7" s="11" t="n">
        <x:v>2014</x:v>
      </x:c>
      <x:c r="E7" s="10" t="str">
        <x:v>1; 2; 3; 4</x:v>
      </x:c>
      <x:c r="F7" s="4" t="str">
        <x:v>1.1; 1.2; 1.4; 2.1; 2.2; 2.3; 2.4; 3.1; 3.2; 3.3; 3.4; 3.5; 3.6; 4.1; 4.2; 4.3</x:v>
      </x:c>
      <x:c r="G7" s="4" t="str">
        <x:v>Livros</x:v>
      </x:c>
      <x:c r="H7" s="4" t="str"/>
      <x:c r="I7" s="4" t="str"/>
      <x:c r="J7" s="4" t="str">
        <x:v>JÄGER et al (2014)</x:v>
      </x:c>
      <x:c r="K7" s="4" t="str">
        <x:v>https://drive.google.com/file/d/1ckPImPgsxOhc-yZYpnTiF2xs2CvNdoWS/view?usp=drivesdk</x:v>
      </x:c>
      <x:c r="L7" s="4" t="str">
        <x:v>https://drive.google.com/file/d/1uCa2WhHXDCJfTzBei05GnK9T_iloGIcW/view?usp=drivesdk</x:v>
      </x:c>
      <x:c r="M7" s="4" t="str">
        <x:v>https://drive.google.com/file/d/1VWT_WiocgG7FE9_5ylkRZKSzDmeoJEBs/view?usp=drivesdk</x:v>
      </x:c>
      <x:c r="N7" s="4" t="str">
        <x:v>https://drive.google.com/file/d/1ZUZ5Luc6dpziMEUuz67yUOURvhuXFeM_/view?usp=drivesdk</x:v>
      </x:c>
      <x:c r="O7" s="4" t="str">
        <x:v>https://drive.google.com/file/d/1KM-4Q0j1XD3zDHhTQgYfbsYjcnKy44H8/view?usp=drivesdk</x:v>
      </x:c>
      <x:c r="P7" s="4" t="str">
        <x:v>Livro da TU Delft de 2014, com 420 páginas digitais. Alternativa de trabalho adotada para fundamentos e sistemas fotovoltaicos de B19 e B20. É uma obra distinta da edição de Smets et al. publicada em 2016. Citar Jäger et al. (2014).</x:v>
      </x:c>
      <x:c r="Q7" s="4" t="n">
        <x:v>1</x:v>
      </x:c>
      <x:c r="R7" s="4" t="n">
        <x:v>1</x:v>
      </x:c>
      <x:c r="S7" s="4" t="n">
        <x:v>1</x:v>
      </x:c>
      <x:c r="T7" s="4" t="n">
        <x:v>1</x:v>
      </x:c>
    </x:row>
    <x:row r="8" ht="33.599998474121094" hidden="0" customHeight="1">
      <x:c r="A8" s="4" t="str">
        <x:v>A004</x:v>
      </x:c>
      <x:c r="B8" s="4" t="str">
        <x:v>Manual de Engenharia para Sistemas Fotovoltaicos</x:v>
      </x:c>
      <x:c r="C8" s="4" t="str">
        <x:v>Pinho; Galdino (org.)</x:v>
      </x:c>
      <x:c r="D8" s="11" t="n">
        <x:v>2014</x:v>
      </x:c>
      <x:c r="E8" s="10" t="str">
        <x:v>1; 2; 3; 4</x:v>
      </x:c>
      <x:c r="F8" s="4" t="str">
        <x:v>1.1; 1.2; 1.4; 2.1; 2.2; 2.3; 2.4; 3.1; 3.2; 3.3; 3.4; 3.5; 3.6; 4.1; 4.2; 4.3; 4.4</x:v>
      </x:c>
      <x:c r="G8" s="4" t="str">
        <x:v>Livros</x:v>
      </x:c>
      <x:c r="H8" s="4" t="str"/>
      <x:c r="I8" s="4" t="str"/>
      <x:c r="J8" s="4" t="str">
        <x:v>PINHO; GALDINO (2014)</x:v>
      </x:c>
      <x:c r="K8" s="4" t="str">
        <x:v>https://drive.google.com/file/d/1aeAym4QKMYsj5EF2msG0-N3pyXMoUBNP/view?usp=drivesdk</x:v>
      </x:c>
      <x:c r="L8" s="4" t="str">
        <x:v>https://drive.google.com/file/d/1KJvtwJZ4nuqbGvV_YiuTn8YAHsJwu1y-/view?usp=drivesdk</x:v>
      </x:c>
      <x:c r="M8" s="4" t="str">
        <x:v>https://drive.google.com/file/d/16CBALAcddgjgOAbbc2wY8XHvN0snNp8D/view?usp=drivesdk</x:v>
      </x:c>
      <x:c r="N8" s="4" t="str">
        <x:v>https://drive.google.com/file/d/1IueoXkB4xUUWsa9BsRpuCx_fVGBH1cT8/view?usp=drivesdk</x:v>
      </x:c>
      <x:c r="O8" s="4" t="str">
        <x:v>https://drive.google.com/file/d/1W7Xyj-MRxoXQrIXfRvdhboT9_jSMPJmp/view?usp=drivesdk</x:v>
      </x:c>
      <x:c r="P8" s="4" t="str"/>
      <x:c r="Q8" s="4" t="n">
        <x:v>1</x:v>
      </x:c>
      <x:c r="R8" s="4" t="n">
        <x:v>1</x:v>
      </x:c>
      <x:c r="S8" s="4" t="n">
        <x:v>1</x:v>
      </x:c>
      <x:c r="T8" s="4" t="n">
        <x:v>1</x:v>
      </x:c>
    </x:row>
    <x:row r="9" ht="33.599998474121094" hidden="0" customHeight="1">
      <x:c r="A9" s="4" t="str">
        <x:v>A005</x:v>
      </x:c>
      <x:c r="B9" s="4" t="str">
        <x:v>Edifícios solares fotovoltaicos: o potencial da geração solar fotovoltaica integrada a edificações urbanas e interligada à rede elétrica pública no Brasil</x:v>
      </x:c>
      <x:c r="C9" s="4" t="str">
        <x:v>Rüther</x:v>
      </x:c>
      <x:c r="D9" s="11" t="n">
        <x:v>2004</x:v>
      </x:c>
      <x:c r="E9" s="10" t="str">
        <x:v>2; 4</x:v>
      </x:c>
      <x:c r="F9" s="4" t="str">
        <x:v>2.4; 4.5</x:v>
      </x:c>
      <x:c r="G9" s="4" t="str">
        <x:v>Livros</x:v>
      </x:c>
      <x:c r="H9" s="4" t="str"/>
      <x:c r="I9" s="4" t="str"/>
      <x:c r="J9" s="4" t="str">
        <x:v>RÜTHER (2004)</x:v>
      </x:c>
      <x:c r="K9" s="4" t="str">
        <x:v>https://drive.google.com/file/d/1V_ApJMkXFybNprJxOH0-u9Vv7YE3BOy7/view?usp=drivesdk</x:v>
      </x:c>
      <x:c r="L9" s="4" t="str"/>
      <x:c r="M9" s="4" t="str">
        <x:v>https://drive.google.com/file/d/1Idnp-55j-6FSzEPK51bW8RshVLUVObG-/view?usp=drivesdk</x:v>
      </x:c>
      <x:c r="N9" s="4" t="str"/>
      <x:c r="O9" s="4" t="str">
        <x:v>https://drive.google.com/file/d/1P_1YDh6taOhSFNKt2lS3zNvHSrupc8Td/view?usp=drivesdk</x:v>
      </x:c>
      <x:c r="P9" s="4" t="str"/>
      <x:c r="Q9" s="4" t="n">
        <x:v>0</x:v>
      </x:c>
      <x:c r="R9" s="4" t="n">
        <x:v>1</x:v>
      </x:c>
      <x:c r="S9" s="4" t="n">
        <x:v>0</x:v>
      </x:c>
      <x:c r="T9" s="4" t="n">
        <x:v>1</x:v>
      </x:c>
    </x:row>
    <x:row r="10" ht="33.599998474121094" hidden="0" customHeight="1">
      <x:c r="A10" s="4" t="str">
        <x:v>A006</x:v>
      </x:c>
      <x:c r="B10" s="4" t="str">
        <x:v>Atlas Brasileiro de Energia Solar</x:v>
      </x:c>
      <x:c r="C10" s="4" t="str">
        <x:v>Pereira et al.</x:v>
      </x:c>
      <x:c r="D10" s="11" t="n">
        <x:v>2017</x:v>
      </x:c>
      <x:c r="E10" s="10" t="str">
        <x:v>1</x:v>
      </x:c>
      <x:c r="F10" s="4" t="str">
        <x:v>1.2; 1.3; 1.4</x:v>
      </x:c>
      <x:c r="G10" s="4" t="str">
        <x:v>Relatórios e manuais</x:v>
      </x:c>
      <x:c r="H10" s="4" t="str"/>
      <x:c r="I10" s="4" t="str">
        <x:v>10.34024/978851700089</x:v>
      </x:c>
      <x:c r="J10" s="4" t="str">
        <x:v>PEREIRA et al (2017)</x:v>
      </x:c>
      <x:c r="K10" s="4" t="str">
        <x:v>https://drive.google.com/file/d/1FOKQlOCXpI5dRm05-alUFf_fdxmOkz0n/view?usp=drivesdk</x:v>
      </x:c>
      <x:c r="L10" s="4" t="str">
        <x:v>https://drive.google.com/file/d/12V13LofUGbAv6Mx53URKdqgOocAJVNe6/view?usp=drivesdk</x:v>
      </x:c>
      <x:c r="M10" s="4" t="str"/>
      <x:c r="N10" s="4" t="str"/>
      <x:c r="O10" s="4" t="str"/>
      <x:c r="P10" s="4" t="str">
        <x:v>2ª edição. Atlas classificado com relatórios e manuais.</x:v>
      </x:c>
      <x:c r="Q10" s="4" t="n">
        <x:v>1</x:v>
      </x:c>
      <x:c r="R10" s="4" t="n">
        <x:v>0</x:v>
      </x:c>
      <x:c r="S10" s="4" t="n">
        <x:v>0</x:v>
      </x:c>
      <x:c r="T10" s="4" t="n">
        <x:v>0</x:v>
      </x:c>
    </x:row>
    <x:row r="11" ht="33.599998474121094" hidden="0" customHeight="1">
      <x:c r="A11" s="4" t="str">
        <x:v>A007</x:v>
      </x:c>
      <x:c r="B11" s="4" t="str">
        <x:v>Thermal Behavior of Photovoltaic Devices: Physics and Engineering</x:v>
      </x:c>
      <x:c r="C11" s="4" t="str">
        <x:v>Dupré; Vaillon; Green</x:v>
      </x:c>
      <x:c r="D11" s="11" t="n">
        <x:v>2017</x:v>
      </x:c>
      <x:c r="E11" s="10" t="str">
        <x:v>2; 3</x:v>
      </x:c>
      <x:c r="F11" s="4" t="str">
        <x:v>2.1; 3.2; 3.3</x:v>
      </x:c>
      <x:c r="G11" s="4" t="str">
        <x:v>Livros</x:v>
      </x:c>
      <x:c r="H11" s="4" t="str"/>
      <x:c r="I11" s="4" t="str">
        <x:v>10.1007/978-3-319-49457-9</x:v>
      </x:c>
      <x:c r="J11" s="4" t="str">
        <x:v>DUPRÉ; VAILLON; BALLIF (2017)</x:v>
      </x:c>
      <x:c r="K11" s="4" t="str">
        <x:v>https://drive.google.com/file/d/1jzvw_cVuBbW8zKV1oWqLT4jvXrE8r0TH/view?usp=drivesdk</x:v>
      </x:c>
      <x:c r="L11" s="4" t="str"/>
      <x:c r="M11" s="4" t="str">
        <x:v>https://drive.google.com/file/d/1pIlCkp94AyQDCe-Wb7nclU-r02VmMa5p/view?usp=drivesdk</x:v>
      </x:c>
      <x:c r="N11" s="4" t="str">
        <x:v>https://drive.google.com/file/d/1Ot6l7OQaISwGAe9vTw0t2ojeUBbr36RL/view?usp=drivesdk</x:v>
      </x:c>
      <x:c r="O11" s="4" t="str"/>
      <x:c r="P11" s="4" t="str">
        <x:v>O nome original contém BALLIF e VAILLON; o PDF identifica Martin A. Green e Rodolphe Vaillon.</x:v>
      </x:c>
      <x:c r="Q11" s="4" t="n">
        <x:v>0</x:v>
      </x:c>
      <x:c r="R11" s="4" t="n">
        <x:v>1</x:v>
      </x:c>
      <x:c r="S11" s="4" t="n">
        <x:v>1</x:v>
      </x:c>
      <x:c r="T11" s="4" t="n">
        <x:v>0</x:v>
      </x:c>
    </x:row>
    <x:row r="12" ht="33.599998474121094" hidden="0" customHeight="1">
      <x:c r="A12" s="4" t="str">
        <x:v>A008</x:v>
      </x:c>
      <x:c r="B12" s="4" t="str">
        <x:v>Climatologia do Estado da Paraíba</x:v>
      </x:c>
      <x:c r="C12" s="4" t="str">
        <x:v>Francisco; Santos</x:v>
      </x:c>
      <x:c r="D12" s="11" t="n">
        <x:v>2017</x:v>
      </x:c>
      <x:c r="E12" s="10" t="str">
        <x:v>1; 2</x:v>
      </x:c>
      <x:c r="F12" s="4" t="str">
        <x:v>1.3; 2.1</x:v>
      </x:c>
      <x:c r="G12" s="4" t="str">
        <x:v>Livros</x:v>
      </x:c>
      <x:c r="H12" s="4" t="str"/>
      <x:c r="I12" s="4" t="str"/>
      <x:c r="J12" s="4" t="str">
        <x:v>FRANCISCO; SANTOS (2017).pdf</x:v>
      </x:c>
      <x:c r="K12" s="4" t="str">
        <x:v>https://drive.google.com/file/d/1ejY__XUvxzP5fnKBv2NiD3jSFy9U-ez9/view?usp=drivesdk</x:v>
      </x:c>
      <x:c r="L12" s="4" t="str">
        <x:v>https://drive.google.com/file/d/1y9IiG3trpLO-CNU6q7yFK87Kd23ZZ5bQ/view?usp=drivesdk</x:v>
      </x:c>
      <x:c r="M12" s="4" t="str">
        <x:v>https://drive.google.com/file/d/1gDACTOY0X9aq-Qdx4iAn298vVlzY0enH/view?usp=drivesdk</x:v>
      </x:c>
      <x:c r="N12" s="4" t="str"/>
      <x:c r="O12" s="4" t="str"/>
      <x:c r="P12" s="4" t="str">
        <x:v>Complemento regional para clima; não substitui referências de modelagem FV.</x:v>
      </x:c>
      <x:c r="Q12" s="4" t="n">
        <x:v>1</x:v>
      </x:c>
      <x:c r="R12" s="4" t="n">
        <x:v>1</x:v>
      </x:c>
      <x:c r="S12" s="4" t="n">
        <x:v>0</x:v>
      </x:c>
      <x:c r="T12" s="4" t="n">
        <x:v>0</x:v>
      </x:c>
    </x:row>
    <x:row r="13" ht="33.599998474121094" hidden="0" customHeight="1">
      <x:c r="A13" s="4" t="str">
        <x:v>A009</x:v>
      </x:c>
      <x:c r="B13" s="4" t="str">
        <x:v>Conversor eletrônico de potência trifásico para sistema fotovoltaico conectado à rede elétrica</x:v>
      </x:c>
      <x:c r="C13" s="4" t="str">
        <x:v>Marcelo Gradella Villalva</x:v>
      </x:c>
      <x:c r="D13" s="11" t="n">
        <x:v>2010</x:v>
      </x:c>
      <x:c r="E13" s="10" t="str">
        <x:v>3</x:v>
      </x:c>
      <x:c r="F13" s="4" t="str">
        <x:v>3.3; 3.4; 3.5</x:v>
      </x:c>
      <x:c r="G13" s="4" t="str">
        <x:v>Teses</x:v>
      </x:c>
      <x:c r="H13" s="4" t="str"/>
      <x:c r="I13" s="4" t="str"/>
      <x:c r="J13" s="4" t="str">
        <x:v>VILLALVA (2010)</x:v>
      </x:c>
      <x:c r="K13" s="4" t="str">
        <x:v>https://drive.google.com/file/d/1VrCTciQGuqeqECttU-R7otNsWxWGid19/view?usp=drivesdk</x:v>
      </x:c>
      <x:c r="L13" s="4" t="str"/>
      <x:c r="M13" s="4" t="str"/>
      <x:c r="N13" s="4" t="str">
        <x:v>https://drive.google.com/file/d/1gRB_dUF4uOE-R__kc0zbm8BNUlAxor0R/view?usp=drivesdk</x:v>
      </x:c>
      <x:c r="O13" s="4" t="str"/>
      <x:c r="P13" s="4" t="str">
        <x:v>Tese de doutorado. Não corresponde ao artigo Villalva et al. (2009), B38.</x:v>
      </x:c>
      <x:c r="Q13" s="4" t="n">
        <x:v>0</x:v>
      </x:c>
      <x:c r="R13" s="4" t="n">
        <x:v>0</x:v>
      </x:c>
      <x:c r="S13" s="4" t="n">
        <x:v>1</x:v>
      </x:c>
      <x:c r="T13" s="4" t="n">
        <x:v>0</x:v>
      </x:c>
    </x:row>
    <x:row r="14" ht="33.599998474121094" hidden="0" customHeight="1">
      <x:c r="A14" s="4" t="str">
        <x:v>A010</x:v>
      </x:c>
      <x:c r="B14" s="4" t="str">
        <x:v>Influência da temperatura na geração de energia elétrica em uma usina solar fotovoltaica flutuante</x:v>
      </x:c>
      <x:c r="C14" s="4" t="str">
        <x:v>Felipe Emanuel Sales</x:v>
      </x:c>
      <x:c r="D14" s="11" t="n">
        <x:v>2023</x:v>
      </x:c>
      <x:c r="E14" s="10" t="str">
        <x:v>2; 3; 4</x:v>
      </x:c>
      <x:c r="F14" s="4" t="str">
        <x:v>2.1; 3.2; 4.1; 4.4</x:v>
      </x:c>
      <x:c r="G14" s="4" t="str">
        <x:v>Dissertações</x:v>
      </x:c>
      <x:c r="H14" s="4" t="str"/>
      <x:c r="I14" s="4" t="str"/>
      <x:c r="J14" s="4" t="str">
        <x:v>SALES (2023)</x:v>
      </x:c>
      <x:c r="K14" s="4" t="str">
        <x:v>https://drive.google.com/file/d/1TqSLinfkCehczPOvs2Owgt2ay0E_k65p/view?usp=drivesdk</x:v>
      </x:c>
      <x:c r="L14" s="4" t="str"/>
      <x:c r="M14" s="4" t="str">
        <x:v>https://drive.google.com/file/d/1JDdNADvXPFi6NAgFG8H1GjHONmrsdVW0/view?usp=drivesdk</x:v>
      </x:c>
      <x:c r="N14" s="4" t="str">
        <x:v>https://drive.google.com/file/d/1s2QX6LOV16vafUy61ewPQDiEBPJ78Ltu/view?usp=drivesdk</x:v>
      </x:c>
      <x:c r="O14" s="4" t="str">
        <x:v>https://drive.google.com/file/d/1GvKFj_rwnHP_iHqnqK3URFSomALsv-gP/view?usp=drivesdk</x:v>
      </x:c>
      <x:c r="P14" s="4" t="str"/>
      <x:c r="Q14" s="4" t="n">
        <x:v>0</x:v>
      </x:c>
      <x:c r="R14" s="4" t="n">
        <x:v>1</x:v>
      </x:c>
      <x:c r="S14" s="4" t="n">
        <x:v>1</x:v>
      </x:c>
      <x:c r="T14" s="4" t="n">
        <x:v>1</x:v>
      </x:c>
    </x:row>
    <x:row r="15" ht="33.599998474121094" hidden="0" customHeight="1">
      <x:c r="A15" s="4" t="str">
        <x:v>A011</x:v>
      </x:c>
      <x:c r="B15" s="4" t="str">
        <x:v>Análise energética de um sistema fotovoltaico/térmico e sua integração a uma unidade de poligeração</x:v>
      </x:c>
      <x:c r="C15" s="4" t="str">
        <x:v>Álvaro Augusto Soares Lima</x:v>
      </x:c>
      <x:c r="D15" s="11" t="n">
        <x:v>2021</x:v>
      </x:c>
      <x:c r="E15" s="10" t="str">
        <x:v>2; 3; 4</x:v>
      </x:c>
      <x:c r="F15" s="4" t="str">
        <x:v>2.1; 3.2; 4.1</x:v>
      </x:c>
      <x:c r="G15" s="4" t="str">
        <x:v>Teses</x:v>
      </x:c>
      <x:c r="H15" s="4" t="str"/>
      <x:c r="I15" s="4" t="str"/>
      <x:c r="J15" s="4" t="str">
        <x:v>LIMA (2021)</x:v>
      </x:c>
      <x:c r="K15" s="4" t="str">
        <x:v>https://drive.google.com/file/d/1uSsBEjEbcScf0AYbUb-6bC0UNCtzQwhb/view?usp=drivesdk</x:v>
      </x:c>
      <x:c r="L15" s="4" t="str"/>
      <x:c r="M15" s="4" t="str">
        <x:v>https://drive.google.com/file/d/1huEh72gnP4vzc3dl3XbogUpfE173J5Lw/view?usp=drivesdk</x:v>
      </x:c>
      <x:c r="N15" s="4" t="str">
        <x:v>https://drive.google.com/file/d/1uV4Ue2H1_q0Uixq_t9ECQFs6q5hQGk8r/view?usp=drivesdk</x:v>
      </x:c>
      <x:c r="O15" s="4" t="str">
        <x:v>https://drive.google.com/file/d/1vEnJORxxRBwIjZxF1_gHAGiu3uYG3HPI/view?usp=drivesdk</x:v>
      </x:c>
      <x:c r="P15" s="4" t="str">
        <x:v>Usar os trechos sobre comportamento térmico FV; a unidade de poligeração é complemento fora do núcleo do capítulo.</x:v>
      </x:c>
      <x:c r="Q15" s="4" t="n">
        <x:v>0</x:v>
      </x:c>
      <x:c r="R15" s="4" t="n">
        <x:v>1</x:v>
      </x:c>
      <x:c r="S15" s="4" t="n">
        <x:v>1</x:v>
      </x:c>
      <x:c r="T15" s="4" t="n">
        <x:v>1</x:v>
      </x:c>
    </x:row>
    <x:row r="16" ht="33.599998474121094" hidden="0" customHeight="1">
      <x:c r="A16" s="4" t="str">
        <x:v>A012</x:v>
      </x:c>
      <x:c r="B16" s="4" t="str">
        <x:v>Análise do ganho de calor em um edifício com fachada fotovoltaica de células monocristalinas: um estudo na cidade de João Pessoa</x:v>
      </x:c>
      <x:c r="C16" s="4" t="str">
        <x:v>Renan Douglas Lopes da Silva Cavalcante</x:v>
      </x:c>
      <x:c r="D16" s="11" t="n">
        <x:v>2025</x:v>
      </x:c>
      <x:c r="E16" s="10" t="str">
        <x:v>2; 4</x:v>
      </x:c>
      <x:c r="F16" s="4" t="str">
        <x:v>2.1; 2.4; 4.5</x:v>
      </x:c>
      <x:c r="G16" s="4" t="str">
        <x:v>Dissertações</x:v>
      </x:c>
      <x:c r="H16" s="4" t="str"/>
      <x:c r="I16" s="4" t="str"/>
      <x:c r="J16" s="4" t="str">
        <x:v>CAVALCANTE (2025).pdf</x:v>
      </x:c>
      <x:c r="K16" s="4" t="str">
        <x:v>https://drive.google.com/file/d/11bqczl2h9Dqfttln66IOFOsaYypGAhLn/view?usp=drivesdk</x:v>
      </x:c>
      <x:c r="L16" s="4" t="str"/>
      <x:c r="M16" s="4" t="str">
        <x:v>https://drive.google.com/file/d/1-Mpzyc_rjrY_zX9X9uvqlKFi-MW7bFF8/view?usp=drivesdk</x:v>
      </x:c>
      <x:c r="N16" s="4" t="str"/>
      <x:c r="O16" s="4" t="str">
        <x:v>https://drive.google.com/file/d/1ugsgpMxdls4FZ8LLx_vmfaw4Ne6IsyUw/view?usp=drivesdk</x:v>
      </x:c>
      <x:c r="P16" s="4" t="str">
        <x:v>Inclui BIPV e SHGC; pertinência direta à subseção 4.5.</x:v>
      </x:c>
      <x:c r="Q16" s="4" t="n">
        <x:v>0</x:v>
      </x:c>
      <x:c r="R16" s="4" t="n">
        <x:v>1</x:v>
      </x:c>
      <x:c r="S16" s="4" t="n">
        <x:v>0</x:v>
      </x:c>
      <x:c r="T16" s="4" t="n">
        <x:v>1</x:v>
      </x:c>
    </x:row>
    <x:row r="17" ht="33.599998474121094" hidden="0" customHeight="1">
      <x:c r="A17" s="4" t="str">
        <x:v>A013</x:v>
      </x:c>
      <x:c r="B17" s="4" t="str">
        <x:v>Influência dos fatores climáticos no desempenho de módulos fotovoltaicos em regiões de clima tropical</x:v>
      </x:c>
      <x:c r="C17" s="4" t="str">
        <x:v>Guillermo Andrés Rodríguez Cantor</x:v>
      </x:c>
      <x:c r="D17" s="11" t="n">
        <x:v>2017</x:v>
      </x:c>
      <x:c r="E17" s="10" t="str">
        <x:v>2; 3; 4</x:v>
      </x:c>
      <x:c r="F17" s="4" t="str">
        <x:v>2.1; 3.2; 4.1; 4.2; 4.3; 4.4</x:v>
      </x:c>
      <x:c r="G17" s="4" t="str">
        <x:v>Dissertações</x:v>
      </x:c>
      <x:c r="H17" s="4" t="str"/>
      <x:c r="I17" s="4" t="str"/>
      <x:c r="J17" s="4" t="str">
        <x:v>CANTOR (2017)</x:v>
      </x:c>
      <x:c r="K17" s="4" t="str">
        <x:v>https://drive.google.com/file/d/1RgYhlmPaxteekRVkr7IwHLtMDnWTGrIJ/view?usp=drivesdk</x:v>
      </x:c>
      <x:c r="L17" s="4" t="str"/>
      <x:c r="M17" s="4" t="str">
        <x:v>https://drive.google.com/file/d/1I3eeeLnlePtUS79-U-uiF-CDmSOUcAfX/view?usp=drivesdk</x:v>
      </x:c>
      <x:c r="N17" s="4" t="str">
        <x:v>https://drive.google.com/file/d/1Ev2lSj-HbzHi7tHJ62d9c2m_YXl-nf0m/view?usp=drivesdk</x:v>
      </x:c>
      <x:c r="O17" s="4" t="str">
        <x:v>https://drive.google.com/file/d/1UDR3GW9sbn12h8MzAyg-ORVAfqza9nDB/view?usp=drivesdk</x:v>
      </x:c>
      <x:c r="P17" s="4" t="str"/>
      <x:c r="Q17" s="4" t="n">
        <x:v>0</x:v>
      </x:c>
      <x:c r="R17" s="4" t="n">
        <x:v>1</x:v>
      </x:c>
      <x:c r="S17" s="4" t="n">
        <x:v>1</x:v>
      </x:c>
      <x:c r="T17" s="4" t="n">
        <x:v>1</x:v>
      </x:c>
    </x:row>
    <x:row r="18" ht="33.599998474121094" hidden="0" customHeight="1">
      <x:c r="A18" s="4" t="str">
        <x:v>A014</x:v>
      </x:c>
      <x:c r="B18" s="4" t="str">
        <x:v>Impacto do clima na produção de energia fotovoltaica na região Nordeste do Brasil</x:v>
      </x:c>
      <x:c r="C18" s="4" t="str">
        <x:v>Nícolas Matheus da Fonseca Tinoco de Souza Araújo</x:v>
      </x:c>
      <x:c r="D18" s="11" t="n">
        <x:v>2024</x:v>
      </x:c>
      <x:c r="E18" s="10" t="str">
        <x:v>1; 2; 3; 4</x:v>
      </x:c>
      <x:c r="F18" s="4" t="str">
        <x:v>1.3; 2.1; 3.2; 4.1</x:v>
      </x:c>
      <x:c r="G18" s="4" t="str">
        <x:v>Teses</x:v>
      </x:c>
      <x:c r="H18" s="4" t="str"/>
      <x:c r="I18" s="4" t="str"/>
      <x:c r="J18" s="4" t="str">
        <x:v>ARAÚJO (2024)</x:v>
      </x:c>
      <x:c r="K18" s="4" t="str">
        <x:v>https://drive.google.com/file/d/1FvIV2QYQsvonZHKSm_PCqSCHaaXDQWq4/view?usp=drivesdk</x:v>
      </x:c>
      <x:c r="L18" s="4" t="str">
        <x:v>https://drive.google.com/file/d/1gOGsimy1JgxLB3r0_IKa9Tg_qc3MmUEd/view?usp=drivesdk</x:v>
      </x:c>
      <x:c r="M18" s="4" t="str">
        <x:v>https://drive.google.com/file/d/1zs7z4P_gGS5_cyD8vP-UhiBIFNFW5UGI/view?usp=drivesdk</x:v>
      </x:c>
      <x:c r="N18" s="4" t="str">
        <x:v>https://drive.google.com/file/d/1J-ZwqoKWJQbJqfaQNF1Ih_2S5IQYXALZ/view?usp=drivesdk</x:v>
      </x:c>
      <x:c r="O18" s="4" t="str">
        <x:v>https://drive.google.com/file/d/1MvCUtGzHJx8CZa_YfJgEU4PTyXG7n583/view?usp=drivesdk</x:v>
      </x:c>
      <x:c r="P18" s="4" t="str"/>
      <x:c r="Q18" s="4" t="n">
        <x:v>1</x:v>
      </x:c>
      <x:c r="R18" s="4" t="n">
        <x:v>1</x:v>
      </x:c>
      <x:c r="S18" s="4" t="n">
        <x:v>1</x:v>
      </x:c>
      <x:c r="T18" s="4" t="n">
        <x:v>1</x:v>
      </x:c>
    </x:row>
    <x:row r="19" ht="33.599998474121094" hidden="0" customHeight="1">
      <x:c r="A19" s="4" t="str">
        <x:v>A015</x:v>
      </x:c>
      <x:c r="B19" s="4" t="str">
        <x:v>Performance evaluation and degradation analysis of grid connected photovoltaic systems for energy efficient buildings in tropical climates</x:v>
      </x:c>
      <x:c r="C19" s="4" t="str">
        <x:v>Radzi et al.</x:v>
      </x:c>
      <x:c r="D19" s="11" t="n">
        <x:v>2025</x:v>
      </x:c>
      <x:c r="E19" s="10" t="str">
        <x:v>4</x:v>
      </x:c>
      <x:c r="F19" s="4" t="str">
        <x:v>4.1; 4.2; 4.3; 4.4; 4.5</x:v>
      </x:c>
      <x:c r="G19" s="4" t="str">
        <x:v>Artigos</x:v>
      </x:c>
      <x:c r="H19" s="4" t="str"/>
      <x:c r="I19" s="4" t="str">
        <x:v>10.1038/s41598-025-26765-9</x:v>
      </x:c>
      <x:c r="J19" s="4" t="str">
        <x:v>RADZI et al (2024)</x:v>
      </x:c>
      <x:c r="K19" s="4" t="str">
        <x:v>https://drive.google.com/file/d/12zUK3R6fCoJeVyU4eyjX5xBIF3QM_P9h/view?usp=drivesdk</x:v>
      </x:c>
      <x:c r="L19" s="4" t="str"/>
      <x:c r="M19" s="4" t="str"/>
      <x:c r="N19" s="4" t="str"/>
      <x:c r="O19" s="4" t="str">
        <x:v>https://drive.google.com/file/d/1z5Z1nHvB2oCadNnGhAYQR6KFbANp62fr/view?usp=drivesdk</x:v>
      </x:c>
      <x:c r="P19" s="4" t="str">
        <x:v>Nome original informa 2024; o PDF informa Scientific Reports (2025), 15:39103.</x:v>
      </x:c>
      <x:c r="Q19" s="4" t="n">
        <x:v>0</x:v>
      </x:c>
      <x:c r="R19" s="4" t="n">
        <x:v>0</x:v>
      </x:c>
      <x:c r="S19" s="4" t="n">
        <x:v>0</x:v>
      </x:c>
      <x:c r="T19" s="4" t="n">
        <x:v>1</x:v>
      </x:c>
    </x:row>
    <x:row r="20" ht="33.599998474121094" hidden="0" customHeight="1">
      <x:c r="A20" s="4" t="str">
        <x:v>A016</x:v>
      </x:c>
      <x:c r="B20" s="4" t="str">
        <x:v>Experimental Efficiency Analysis of a Photovoltaic System with Different Module Technologies under Temperate Climate Conditions</x:v>
      </x:c>
      <x:c r="C20" s="4" t="str">
        <x:v>Gulkowski; Zdyb; Dragan</x:v>
      </x:c>
      <x:c r="D20" s="11" t="n">
        <x:v>2019</x:v>
      </x:c>
      <x:c r="E20" s="10" t="str">
        <x:v>4</x:v>
      </x:c>
      <x:c r="F20" s="4" t="str">
        <x:v>4.2; 4.3; 4.4</x:v>
      </x:c>
      <x:c r="G20" s="4" t="str">
        <x:v>Artigos</x:v>
      </x:c>
      <x:c r="H20" s="4" t="str"/>
      <x:c r="I20" s="4" t="str">
        <x:v>10.3390/app9010141</x:v>
      </x:c>
      <x:c r="J20" s="4" t="str">
        <x:v>GULKOWSKI et al (2019)</x:v>
      </x:c>
      <x:c r="K20" s="4" t="str">
        <x:v>https://drive.google.com/file/d/1lDtGIMdgHwhqOvsc3pLhcJxPuU9mGEH4/view?usp=drivesdk</x:v>
      </x:c>
      <x:c r="L20" s="4" t="str"/>
      <x:c r="M20" s="4" t="str"/>
      <x:c r="N20" s="4" t="str"/>
      <x:c r="O20" s="4" t="str">
        <x:v>https://drive.google.com/file/d/1zq8oHbuYiJg-AiciEkNGT3rL_SKmNT_d/view?usp=drivesdk</x:v>
      </x:c>
      <x:c r="P20" s="4" t="str"/>
      <x:c r="Q20" s="4" t="n">
        <x:v>0</x:v>
      </x:c>
      <x:c r="R20" s="4" t="n">
        <x:v>0</x:v>
      </x:c>
      <x:c r="S20" s="4" t="n">
        <x:v>0</x:v>
      </x:c>
      <x:c r="T20" s="4" t="n">
        <x:v>1</x:v>
      </x:c>
    </x:row>
    <x:row r="21" ht="33.599998474121094" hidden="0" customHeight="1">
      <x:c r="A21" s="4" t="str">
        <x:v>A017</x:v>
      </x:c>
      <x:c r="B21" s="4" t="str">
        <x:v>An efficient photovoltaic modeling using an Adaptive Fractional-order Archimedes Optimization Algorithm: Validation with partial shading conditions</x:v>
      </x:c>
      <x:c r="C21" s="4" t="str">
        <x:v>Yousri et al.</x:v>
      </x:c>
      <x:c r="D21" s="11" t="n">
        <x:v>2022</x:v>
      </x:c>
      <x:c r="E21" s="10" t="str">
        <x:v>2; 3; 4</x:v>
      </x:c>
      <x:c r="F21" s="4" t="str">
        <x:v>2.3; 3.3; 3.4; 4.4</x:v>
      </x:c>
      <x:c r="G21" s="4" t="str">
        <x:v>Artigos</x:v>
      </x:c>
      <x:c r="H21" s="4" t="str"/>
      <x:c r="I21" s="4" t="str">
        <x:v>10.1016/j.solener.2021.12.063</x:v>
      </x:c>
      <x:c r="J21" s="4" t="str">
        <x:v>YOUSRI (2022).pdf</x:v>
      </x:c>
      <x:c r="K21" s="4" t="str">
        <x:v>https://drive.google.com/file/d/1UnfkTggC8CCSFQhjdzsNfuqrCHzQlFI6/view?usp=drivesdk</x:v>
      </x:c>
      <x:c r="L21" s="4" t="str"/>
      <x:c r="M21" s="4" t="str">
        <x:v>https://drive.google.com/file/d/1LIolX37KYujwuftpzIghrbiTNh81Tswx/view?usp=drivesdk</x:v>
      </x:c>
      <x:c r="N21" s="4" t="str">
        <x:v>https://drive.google.com/file/d/1uDelNlCmL-Q9zx__1bEETAUtNDGxgBLu/view?usp=drivesdk</x:v>
      </x:c>
      <x:c r="O21" s="4" t="str">
        <x:v>https://drive.google.com/file/d/1ou87Ok6iexkfPx8sh5mYJImkkcMB_1gf/view?usp=drivesdk</x:v>
      </x:c>
      <x:c r="P21" s="4" t="str">
        <x:v>Complemento sobre parâmetros e sombreamento parcial.</x:v>
      </x:c>
      <x:c r="Q21" s="4" t="n">
        <x:v>0</x:v>
      </x:c>
      <x:c r="R21" s="4" t="n">
        <x:v>1</x:v>
      </x:c>
      <x:c r="S21" s="4" t="n">
        <x:v>1</x:v>
      </x:c>
      <x:c r="T21" s="4" t="n">
        <x:v>1</x:v>
      </x:c>
    </x:row>
    <x:row r="22" ht="33.599998474121094" hidden="0" customHeight="1">
      <x:c r="A22" s="4" t="str">
        <x:v>A018</x:v>
      </x:c>
      <x:c r="B22" s="4" t="str">
        <x:v>pvlib python: a python package for modeling solar energy systems</x:v>
      </x:c>
      <x:c r="C22" s="4" t="str">
        <x:v>Holmgren; Hansen; Mikofski</x:v>
      </x:c>
      <x:c r="D22" s="11" t="n">
        <x:v>2018</x:v>
      </x:c>
      <x:c r="E22" s="10" t="str">
        <x:v>2; 3</x:v>
      </x:c>
      <x:c r="F22" s="4" t="str">
        <x:v>2.4; 3.3; 3.4; 3.5</x:v>
      </x:c>
      <x:c r="G22" s="4" t="str">
        <x:v>Artigos</x:v>
      </x:c>
      <x:c r="H22" s="4" t="str">
        <x:v>B14</x:v>
      </x:c>
      <x:c r="I22" s="4" t="str">
        <x:v>10.21105/joss.00884</x:v>
      </x:c>
      <x:c r="J22" s="4" t="str">
        <x:v>HOLMGREN (2018).pdf</x:v>
      </x:c>
      <x:c r="K22" s="4" t="str">
        <x:v>https://drive.google.com/file/d/1-W8M8BseaO-3Vr-jBa_jr77RS8BwUXZF/view?usp=drivesdk</x:v>
      </x:c>
      <x:c r="L22" s="4" t="str"/>
      <x:c r="M22" s="4" t="str">
        <x:v>https://drive.google.com/file/d/1FBMDvA4xpAW7-8zq2Tre5AGUt_kr56TL/view?usp=drivesdk</x:v>
      </x:c>
      <x:c r="N22" s="4" t="str">
        <x:v>https://drive.google.com/file/d/1GKdiBLdyXR6JeCs0x_kcrx4KLIga1-Lj/view?usp=drivesdk</x:v>
      </x:c>
      <x:c r="O22" s="4" t="str"/>
      <x:c r="P22" s="4" t="str"/>
      <x:c r="Q22" s="4" t="n">
        <x:v>0</x:v>
      </x:c>
      <x:c r="R22" s="4" t="n">
        <x:v>1</x:v>
      </x:c>
      <x:c r="S22" s="4" t="n">
        <x:v>1</x:v>
      </x:c>
      <x:c r="T22" s="4" t="n">
        <x:v>0</x:v>
      </x:c>
    </x:row>
    <x:row r="23" ht="33.599998474121094" hidden="0" customHeight="1">
      <x:c r="A23" s="4" t="str">
        <x:v>A019</x:v>
      </x:c>
      <x:c r="B23" s="4" t="str">
        <x:v>Numerical determination of adequate air gaps for building-integrated photovoltaics</x:v>
      </x:c>
      <x:c r="C23" s="4" t="str">
        <x:v>Guohui Gan</x:v>
      </x:c>
      <x:c r="D23" s="11" t="n">
        <x:v>2009</x:v>
      </x:c>
      <x:c r="E23" s="10" t="str">
        <x:v>2; 3; 4</x:v>
      </x:c>
      <x:c r="F23" s="4" t="str">
        <x:v>2.1; 2.4; 3.2; 4.5</x:v>
      </x:c>
      <x:c r="G23" s="4" t="str">
        <x:v>Artigos</x:v>
      </x:c>
      <x:c r="H23" s="4" t="str"/>
      <x:c r="I23" s="4" t="str">
        <x:v>10.1016/j.solener.2009.02.008</x:v>
      </x:c>
      <x:c r="J23" s="4" t="str">
        <x:v>GAN (2009).pdf</x:v>
      </x:c>
      <x:c r="K23" s="4" t="str">
        <x:v>https://drive.google.com/file/d/1t1EzW0GdNr4qCKtvZ35RfXH3wrWkyehd/view?usp=drivesdk</x:v>
      </x:c>
      <x:c r="L23" s="4" t="str"/>
      <x:c r="M23" s="4" t="str">
        <x:v>https://drive.google.com/file/d/1szcWqxYVsCIOygPDqYZ9WQKGkgxTXmo1/view?usp=drivesdk</x:v>
      </x:c>
      <x:c r="N23" s="4" t="str">
        <x:v>https://drive.google.com/file/d/1ZMqr3x_pU_QXWKaHtv0Kr4-Ufh3wQ5_1/view?usp=drivesdk</x:v>
      </x:c>
      <x:c r="O23" s="4" t="str">
        <x:v>https://drive.google.com/file/d/1IJAv4L64yX04FoH-ok9rq8Aag2kBK_JE/view?usp=drivesdk</x:v>
      </x:c>
      <x:c r="P23" s="4" t="str"/>
      <x:c r="Q23" s="4" t="n">
        <x:v>0</x:v>
      </x:c>
      <x:c r="R23" s="4" t="n">
        <x:v>1</x:v>
      </x:c>
      <x:c r="S23" s="4" t="n">
        <x:v>1</x:v>
      </x:c>
      <x:c r="T23" s="4" t="n">
        <x:v>1</x:v>
      </x:c>
    </x:row>
    <x:row r="24" ht="33.599998474121094" hidden="0" customHeight="1">
      <x:c r="A24" s="4" t="str">
        <x:v>A020</x:v>
      </x:c>
      <x:c r="B24" s="4" t="str">
        <x:v>Effect of various parameters on the performance of solar PV power plant: a review and the experimental study</x:v>
      </x:c>
      <x:c r="C24" s="4" t="str">
        <x:v>Shaik; Lingala; Veeraboina</x:v>
      </x:c>
      <x:c r="D24" s="11" t="n">
        <x:v>2023</x:v>
      </x:c>
      <x:c r="E24" s="10" t="str">
        <x:v>2; 4</x:v>
      </x:c>
      <x:c r="F24" s="4" t="str">
        <x:v>2.1; 2.3; 2.4; 4.1; 4.2; 4.3</x:v>
      </x:c>
      <x:c r="G24" s="4" t="str">
        <x:v>Artigos</x:v>
      </x:c>
      <x:c r="H24" s="4" t="str"/>
      <x:c r="I24" s="4" t="str">
        <x:v>10.1186/s40807-023-00076-x</x:v>
      </x:c>
      <x:c r="J24" s="4" t="str">
        <x:v>SHAIK et al (2023)</x:v>
      </x:c>
      <x:c r="K24" s="4" t="str">
        <x:v>https://drive.google.com/file/d/1G3kzyDkyZcS_88GrvuyLBfkzuwg7G-_j/view?usp=drivesdk</x:v>
      </x:c>
      <x:c r="L24" s="4" t="str"/>
      <x:c r="M24" s="4" t="str">
        <x:v>https://drive.google.com/file/d/1Be6u2ukrZG1FuaP62BoHg6gjPrMW5rWF/view?usp=drivesdk</x:v>
      </x:c>
      <x:c r="N24" s="4" t="str"/>
      <x:c r="O24" s="4" t="str">
        <x:v>https://drive.google.com/file/d/1LBdGn4uygLrCx7i76axWxUzxDL9Hg8ON/view?usp=drivesdk</x:v>
      </x:c>
      <x:c r="P24" s="4" t="str"/>
      <x:c r="Q24" s="4" t="n">
        <x:v>0</x:v>
      </x:c>
      <x:c r="R24" s="4" t="n">
        <x:v>1</x:v>
      </x:c>
      <x:c r="S24" s="4" t="n">
        <x:v>0</x:v>
      </x:c>
      <x:c r="T24" s="4" t="n">
        <x:v>1</x:v>
      </x:c>
    </x:row>
    <x:row r="25" ht="33.599998474121094" hidden="0" customHeight="1">
      <x:c r="A25" s="4" t="str">
        <x:v>A021</x:v>
      </x:c>
      <x:c r="B25" s="4" t="str">
        <x:v>Comprehensive assessment of performance and reliability of PERC, TOPCon and SHJ modules in desert climates</x:v>
      </x:c>
      <x:c r="C25" s="4" t="str">
        <x:v>Kivambe et al.</x:v>
      </x:c>
      <x:c r="D25" s="11" t="n">
        <x:v>2025</x:v>
      </x:c>
      <x:c r="E25" s="10" t="str">
        <x:v>2; 4</x:v>
      </x:c>
      <x:c r="F25" s="4" t="str">
        <x:v>2.2; 4.1; 4.2; 4.3</x:v>
      </x:c>
      <x:c r="G25" s="4" t="str">
        <x:v>Artigos</x:v>
      </x:c>
      <x:c r="H25" s="4" t="str"/>
      <x:c r="I25" s="4" t="str">
        <x:v>10.1016/j.solener.2025.113555</x:v>
      </x:c>
      <x:c r="J25" s="4" t="str">
        <x:v>KIVAMBE et al (2025)</x:v>
      </x:c>
      <x:c r="K25" s="4" t="str">
        <x:v>https://drive.google.com/file/d/1BSvxqJgmqLnGOg4tMeKLDGDMC2EoZplF/view?usp=drivesdk</x:v>
      </x:c>
      <x:c r="L25" s="4" t="str"/>
      <x:c r="M25" s="4" t="str">
        <x:v>https://drive.google.com/file/d/1HpHqUe54MbMWwapE2rmumPorqucfF42z/view?usp=drivesdk</x:v>
      </x:c>
      <x:c r="N25" s="4" t="str"/>
      <x:c r="O25" s="4" t="str">
        <x:v>https://drive.google.com/file/d/1xNX0bFORCKgMkFtdbyvfNl1K2_BHQ9q-/view?usp=drivesdk</x:v>
      </x:c>
      <x:c r="P25" s="4" t="str"/>
      <x:c r="Q25" s="4" t="n">
        <x:v>0</x:v>
      </x:c>
      <x:c r="R25" s="4" t="n">
        <x:v>1</x:v>
      </x:c>
      <x:c r="S25" s="4" t="n">
        <x:v>0</x:v>
      </x:c>
      <x:c r="T25" s="4" t="n">
        <x:v>1</x:v>
      </x:c>
    </x:row>
    <x:row r="26" ht="33.599998474121094" hidden="0" customHeight="1">
      <x:c r="A26" s="4" t="str">
        <x:v>A022</x:v>
      </x:c>
      <x:c r="B26" s="4" t="str">
        <x:v>Projeções de radiação solar incidente à superfície e nebulosidade para a região Nordeste do Brasil através de um conjunto de modelos climáticos</x:v>
      </x:c>
      <x:c r="C26" s="4" t="str">
        <x:v>Santos et al.</x:v>
      </x:c>
      <x:c r="D26" s="11" t="n">
        <x:v>2024</x:v>
      </x:c>
      <x:c r="E26" s="10" t="str">
        <x:v>1</x:v>
      </x:c>
      <x:c r="F26" s="4" t="str">
        <x:v>1.3; 1.4</x:v>
      </x:c>
      <x:c r="G26" s="4" t="str">
        <x:v>Artigos</x:v>
      </x:c>
      <x:c r="H26" s="4" t="str"/>
      <x:c r="I26" s="4" t="str">
        <x:v>10.1590/0102-778639100361</x:v>
      </x:c>
      <x:c r="J26" s="4" t="str">
        <x:v>Santos et al. (2024).pdf</x:v>
      </x:c>
      <x:c r="K26" s="4" t="str">
        <x:v>https://drive.google.com/file/d/1qTTpCKjvlOZfhigizy5SiykGD01k4ZOe/view?usp=drivesdk</x:v>
      </x:c>
      <x:c r="L26" s="4" t="str">
        <x:v>https://drive.google.com/file/d/1ctsZvvnL3o3Vapa1Cl-BcAHidYEAa9Mo/view?usp=drivesdk</x:v>
      </x:c>
      <x:c r="M26" s="4" t="str"/>
      <x:c r="N26" s="4" t="str"/>
      <x:c r="O26" s="4" t="str"/>
      <x:c r="P26" s="4" t="str"/>
      <x:c r="Q26" s="4" t="n">
        <x:v>1</x:v>
      </x:c>
      <x:c r="R26" s="4" t="n">
        <x:v>0</x:v>
      </x:c>
      <x:c r="S26" s="4" t="n">
        <x:v>0</x:v>
      </x:c>
      <x:c r="T26" s="4" t="n">
        <x:v>0</x:v>
      </x:c>
    </x:row>
    <x:row r="27" ht="33.599998474121094" hidden="0" customHeight="1">
      <x:c r="A27" s="4" t="str">
        <x:v>A023</x:v>
      </x:c>
      <x:c r="B27" s="4" t="str">
        <x:v>Variabilidade da temperatura do ar na bacia hidrográfica do rio Paraíba do Norte, no estado da Paraíba</x:v>
      </x:c>
      <x:c r="C27" s="4" t="str">
        <x:v>Nascimento et al.</x:v>
      </x:c>
      <x:c r="D27" s="11" t="n">
        <x:v>2024</x:v>
      </x:c>
      <x:c r="E27" s="10" t="str">
        <x:v>2</x:v>
      </x:c>
      <x:c r="F27" s="4" t="str">
        <x:v>2.1</x:v>
      </x:c>
      <x:c r="G27" s="4" t="str">
        <x:v>Artigos</x:v>
      </x:c>
      <x:c r="H27" s="4" t="str"/>
      <x:c r="I27" s="4" t="str"/>
      <x:c r="J27" s="4" t="str">
        <x:v>Nascimento et al. (2024).pdf</x:v>
      </x:c>
      <x:c r="K27" s="4" t="str">
        <x:v>https://drive.google.com/file/d/18YUv_865lACNh9aYXQ0ERM1Ah-Xkovrd/view?usp=drivesdk</x:v>
      </x:c>
      <x:c r="L27" s="4" t="str"/>
      <x:c r="M27" s="4" t="str">
        <x:v>https://drive.google.com/file/d/1UyTTJlSnGMODwR-_2rQBj3eIdFHd69EJ/view?usp=drivesdk</x:v>
      </x:c>
      <x:c r="N27" s="4" t="str"/>
      <x:c r="O27" s="4" t="str"/>
      <x:c r="P27" s="4" t="str">
        <x:v>Complemento regional. DOI próprio não identificado no texto extraído; não confundir com DOIs da bibliografia.</x:v>
      </x:c>
      <x:c r="Q27" s="4" t="n">
        <x:v>0</x:v>
      </x:c>
      <x:c r="R27" s="4" t="n">
        <x:v>1</x:v>
      </x:c>
      <x:c r="S27" s="4" t="n">
        <x:v>0</x:v>
      </x:c>
      <x:c r="T27" s="4" t="n">
        <x:v>0</x:v>
      </x:c>
    </x:row>
    <x:row r="28" ht="33.599998474121094" hidden="0" customHeight="1">
      <x:c r="A28" s="4" t="str">
        <x:v>A024</x:v>
      </x:c>
      <x:c r="B28" s="4" t="str">
        <x:v>On the temperature dependence of photovoltaic module electrical performance: A review of efficiency/power correlations</x:v>
      </x:c>
      <x:c r="C28" s="4" t="str">
        <x:v>Skoplaki; Palyvos</x:v>
      </x:c>
      <x:c r="D28" s="11" t="n">
        <x:v>2009</x:v>
      </x:c>
      <x:c r="E28" s="10" t="str">
        <x:v>2; 3</x:v>
      </x:c>
      <x:c r="F28" s="4" t="str">
        <x:v>2.1; 3.2; 3.3</x:v>
      </x:c>
      <x:c r="G28" s="4" t="str">
        <x:v>Artigos</x:v>
      </x:c>
      <x:c r="H28" s="4" t="str">
        <x:v>B37</x:v>
      </x:c>
      <x:c r="I28" s="4" t="str">
        <x:v>10.1016/j.solener.2008.10.008</x:v>
      </x:c>
      <x:c r="J28" s="4" t="str">
        <x:v>SKOPLAKI; PALYVOS (2009a).pdf</x:v>
      </x:c>
      <x:c r="K28" s="4" t="str">
        <x:v>https://drive.google.com/file/d/1E8M0PGQI6TPHvyDqd2rzGGK1KPLFWI2l/view?usp=drivesdk</x:v>
      </x:c>
      <x:c r="L28" s="4" t="str"/>
      <x:c r="M28" s="4" t="str">
        <x:v>https://drive.google.com/file/d/1F1kNAs41Buzt_p_R7WcxxQ_2iq6HxDvu/view?usp=drivesdk</x:v>
      </x:c>
      <x:c r="N28" s="4" t="str">
        <x:v>https://drive.google.com/file/d/1AD0rpuwBf_focpPiAnp3HFKfIA6XdMO4/view?usp=drivesdk</x:v>
      </x:c>
      <x:c r="O28" s="4" t="str"/>
      <x:c r="P28" s="4" t="str"/>
      <x:c r="Q28" s="4" t="n">
        <x:v>0</x:v>
      </x:c>
      <x:c r="R28" s="4" t="n">
        <x:v>1</x:v>
      </x:c>
      <x:c r="S28" s="4" t="n">
        <x:v>1</x:v>
      </x:c>
      <x:c r="T28" s="4" t="n">
        <x:v>0</x:v>
      </x:c>
    </x:row>
    <x:row r="29" ht="33.599998474121094" hidden="0" customHeight="1">
      <x:c r="A29" s="4" t="str">
        <x:v>A025</x:v>
      </x:c>
      <x:c r="B29" s="4" t="str">
        <x:v>Operating temperature of photovoltaic modules: A survey of pertinent correlations</x:v>
      </x:c>
      <x:c r="C29" s="4" t="str">
        <x:v>Skoplaki; Palyvos</x:v>
      </x:c>
      <x:c r="D29" s="11" t="n">
        <x:v>2009</x:v>
      </x:c>
      <x:c r="E29" s="10" t="str">
        <x:v>2; 3</x:v>
      </x:c>
      <x:c r="F29" s="4" t="str">
        <x:v>2.1; 3.2</x:v>
      </x:c>
      <x:c r="G29" s="4" t="str">
        <x:v>Artigos</x:v>
      </x:c>
      <x:c r="H29" s="4" t="str"/>
      <x:c r="I29" s="4" t="str">
        <x:v>10.1016/j.renene.2008.04.009</x:v>
      </x:c>
      <x:c r="J29" s="4" t="str">
        <x:v>SKOPLAKII; PALYVOS (2009b).pdf</x:v>
      </x:c>
      <x:c r="K29" s="4" t="str">
        <x:v>https://drive.google.com/file/d/1d00mHkXEkUlJZATP6v2XIXKAObAdjJRl/view?usp=drivesdk</x:v>
      </x:c>
      <x:c r="L29" s="4" t="str"/>
      <x:c r="M29" s="4" t="str">
        <x:v>https://drive.google.com/file/d/1sxd1JkBKFqu12E3f94uXoLcHDyK1Jsl9/view?usp=drivesdk</x:v>
      </x:c>
      <x:c r="N29" s="4" t="str">
        <x:v>https://drive.google.com/file/d/15q3aGEfVoUdp4IVE-qhrG3BRUhIx5dKn/view?usp=drivesdk</x:v>
      </x:c>
      <x:c r="O29" s="4" t="str"/>
      <x:c r="P29" s="4" t="str">
        <x:v>Obra distinta de B37, apesar de autores e ano iguais.</x:v>
      </x:c>
      <x:c r="Q29" s="4" t="n">
        <x:v>0</x:v>
      </x:c>
      <x:c r="R29" s="4" t="n">
        <x:v>1</x:v>
      </x:c>
      <x:c r="S29" s="4" t="n">
        <x:v>1</x:v>
      </x:c>
      <x:c r="T29" s="4" t="n">
        <x:v>0</x:v>
      </x:c>
    </x:row>
    <x:row r="30" ht="33.599998474121094" hidden="0" customHeight="1">
      <x:c r="A30" s="4" t="str">
        <x:v>A026</x:v>
      </x:c>
      <x:c r="B30" s="4" t="str">
        <x:v>Análise horária de elementos climáticos no estado da Paraíba</x:v>
      </x:c>
      <x:c r="C30" s="4" t="str">
        <x:v>Araújo; Lucena</x:v>
      </x:c>
      <x:c r="D30" s="11" t="n">
        <x:v>2024</x:v>
      </x:c>
      <x:c r="E30" s="10" t="str">
        <x:v>1; 2</x:v>
      </x:c>
      <x:c r="F30" s="4" t="str">
        <x:v>1.3; 2.1</x:v>
      </x:c>
      <x:c r="G30" s="4" t="str">
        <x:v>Artigos</x:v>
      </x:c>
      <x:c r="H30" s="4" t="str"/>
      <x:c r="I30" s="4" t="str"/>
      <x:c r="J30" s="4" t="str">
        <x:v>Araújo e Lucena (2024).pdf</x:v>
      </x:c>
      <x:c r="K30" s="4" t="str">
        <x:v>https://drive.google.com/file/d/1Evy58ZEkJ6xxqczSom6VgF7UdtDUqS5C/view?usp=drivesdk</x:v>
      </x:c>
      <x:c r="L30" s="4" t="str">
        <x:v>https://drive.google.com/file/d/18dewkpy5cfsUTyMohCqryng6rcdB9TF8/view?usp=drivesdk</x:v>
      </x:c>
      <x:c r="M30" s="4" t="str">
        <x:v>https://drive.google.com/file/d/1pOdqqUT32yxXjTz8D1CCOacMu66Y8My2/view?usp=drivesdk</x:v>
      </x:c>
      <x:c r="N30" s="4" t="str"/>
      <x:c r="O30" s="4" t="str"/>
      <x:c r="P30" s="4" t="str">
        <x:v>Complemento regional; DOI próprio não identificado no texto extraído.</x:v>
      </x:c>
      <x:c r="Q30" s="4" t="n">
        <x:v>1</x:v>
      </x:c>
      <x:c r="R30" s="4" t="n">
        <x:v>1</x:v>
      </x:c>
      <x:c r="S30" s="4" t="n">
        <x:v>0</x:v>
      </x:c>
      <x:c r="T30" s="4" t="n">
        <x:v>0</x:v>
      </x:c>
    </x:row>
    <x:row r="31" ht="33.599998474121094" hidden="0" customHeight="1">
      <x:c r="A31" s="4" t="str">
        <x:v>A027</x:v>
      </x:c>
      <x:c r="B31" s="4" t="str">
        <x:v>Performance assessment of solar photovoltaic technologies under different climatic conditions in Brazil</x:v>
      </x:c>
      <x:c r="C31" s="4" t="str">
        <x:v>Nascimento et al.</x:v>
      </x:c>
      <x:c r="D31" s="11" t="n">
        <x:v>2019</x:v>
      </x:c>
      <x:c r="E31" s="10" t="str">
        <x:v>2; 4</x:v>
      </x:c>
      <x:c r="F31" s="4" t="str">
        <x:v>2.1; 4.1; 4.2; 4.3; 4.4</x:v>
      </x:c>
      <x:c r="G31" s="4" t="str">
        <x:v>Artigos</x:v>
      </x:c>
      <x:c r="H31" s="4" t="str"/>
      <x:c r="I31" s="4" t="str">
        <x:v>10.1016/j.renene.2019.06.160</x:v>
      </x:c>
      <x:c r="J31" s="4" t="str">
        <x:v>NASCIMENTO et al (2019)</x:v>
      </x:c>
      <x:c r="K31" s="4" t="str">
        <x:v>https://drive.google.com/file/d/1b_mExKN_Of6QB2uMykUryMyshy0INoVu/view?usp=drivesdk</x:v>
      </x:c>
      <x:c r="L31" s="4" t="str"/>
      <x:c r="M31" s="4" t="str">
        <x:v>https://drive.google.com/file/d/1WvziSlHRV_XPvR86recD4elbF-wv3JlQ/view?usp=drivesdk</x:v>
      </x:c>
      <x:c r="N31" s="4" t="str"/>
      <x:c r="O31" s="4" t="str">
        <x:v>https://drive.google.com/file/d/1VokOZe8Fu1vTWhrXSrNthL0hF4Tlklvm/view?usp=drivesdk</x:v>
      </x:c>
      <x:c r="P31" s="4" t="str">
        <x:v>Manuscrito aceito; ano e DOI conforme primeira página.</x:v>
      </x:c>
      <x:c r="Q31" s="4" t="n">
        <x:v>0</x:v>
      </x:c>
      <x:c r="R31" s="4" t="n">
        <x:v>1</x:v>
      </x:c>
      <x:c r="S31" s="4" t="n">
        <x:v>0</x:v>
      </x:c>
      <x:c r="T31" s="4" t="n">
        <x:v>1</x:v>
      </x:c>
    </x:row>
    <x:row r="32" ht="33.599998474121094" hidden="0" customHeight="1">
      <x:c r="A32" s="4" t="str">
        <x:v>A028</x:v>
      </x:c>
      <x:c r="B32" s="4" t="str">
        <x:v>Tendências climáticas na mesorregião da Mata Paraibana e sua influência na produção de energia fotovoltaica</x:v>
      </x:c>
      <x:c r="C32" s="4" t="str">
        <x:v>Silva et al.</x:v>
      </x:c>
      <x:c r="D32" s="11" t="n">
        <x:v>2018</x:v>
      </x:c>
      <x:c r="E32" s="10" t="str">
        <x:v>1; 2; 4</x:v>
      </x:c>
      <x:c r="F32" s="4" t="str">
        <x:v>1.3; 2.1; 4.1</x:v>
      </x:c>
      <x:c r="G32" s="4" t="str">
        <x:v>Artigos</x:v>
      </x:c>
      <x:c r="H32" s="4" t="str"/>
      <x:c r="I32" s="4" t="str">
        <x:v>10.18677/EnciBio_2018A118</x:v>
      </x:c>
      <x:c r="J32" s="4" t="str">
        <x:v>SILVA et al (2018).pdf</x:v>
      </x:c>
      <x:c r="K32" s="4" t="str">
        <x:v>https://drive.google.com/file/d/1ChAFAO_0Mhj4-6nJ-gCj3iU7QW8SHUq2/view?usp=drivesdk</x:v>
      </x:c>
      <x:c r="L32" s="4" t="str">
        <x:v>https://drive.google.com/file/d/1Fwxv6eFTZ6uxrwt-aMPYP2xYgbDHsTlX/view?usp=drivesdk</x:v>
      </x:c>
      <x:c r="M32" s="4" t="str">
        <x:v>https://drive.google.com/file/d/1fInyCySPhP5ZUgmyfeVbLqj-SJJoY6nL/view?usp=drivesdk</x:v>
      </x:c>
      <x:c r="N32" s="4" t="str"/>
      <x:c r="O32" s="4" t="str">
        <x:v>https://drive.google.com/file/d/1o397jtabMaXEXmPLBOS5tx_CgU2KOgrP/view?usp=drivesdk</x:v>
      </x:c>
      <x:c r="P32" s="4" t="str"/>
      <x:c r="Q32" s="4" t="n">
        <x:v>1</x:v>
      </x:c>
      <x:c r="R32" s="4" t="n">
        <x:v>1</x:v>
      </x:c>
      <x:c r="S32" s="4" t="n">
        <x:v>0</x:v>
      </x:c>
      <x:c r="T32" s="4" t="n">
        <x:v>1</x:v>
      </x:c>
    </x:row>
    <x:row r="33" ht="33.599998474121094" hidden="0" customHeight="1">
      <x:c r="A33" s="4" t="str">
        <x:v>A029</x:v>
      </x:c>
      <x:c r="B33" s="4" t="str">
        <x:v>Theoretical temperature dependence of solar cell parameters</x:v>
      </x:c>
      <x:c r="C33" s="4" t="str">
        <x:v>John C. C. Fan</x:v>
      </x:c>
      <x:c r="D33" s="11" t="n">
        <x:v>1986</x:v>
      </x:c>
      <x:c r="E33" s="10" t="str">
        <x:v>2; 3</x:v>
      </x:c>
      <x:c r="F33" s="4" t="str">
        <x:v>2.1; 3.3</x:v>
      </x:c>
      <x:c r="G33" s="4" t="str">
        <x:v>Artigos</x:v>
      </x:c>
      <x:c r="H33" s="4" t="str"/>
      <x:c r="I33" s="4" t="str"/>
      <x:c r="J33" s="4" t="str">
        <x:v>FAN (1986).pdf</x:v>
      </x:c>
      <x:c r="K33" s="4" t="str">
        <x:v>https://drive.google.com/file/d/1PJ2YdmPHrN3Esyr8QUw6BzFcTGCpM2HC/view?usp=drivesdk</x:v>
      </x:c>
      <x:c r="L33" s="4" t="str"/>
      <x:c r="M33" s="4" t="str">
        <x:v>https://drive.google.com/file/d/1V8UN1RJ_zK_VM3OBOsbFL4xgnV6mBUnT/view?usp=drivesdk</x:v>
      </x:c>
      <x:c r="N33" s="4" t="str">
        <x:v>https://drive.google.com/file/d/19KfXyddJHDU8vq_U-pQsaA50P8mXT25Z/view?usp=drivesdk</x:v>
      </x:c>
      <x:c r="O33" s="4" t="str"/>
      <x:c r="P33" s="4" t="str"/>
      <x:c r="Q33" s="4" t="n">
        <x:v>0</x:v>
      </x:c>
      <x:c r="R33" s="4" t="n">
        <x:v>1</x:v>
      </x:c>
      <x:c r="S33" s="4" t="n">
        <x:v>1</x:v>
      </x:c>
      <x:c r="T33" s="4" t="n">
        <x:v>0</x:v>
      </x:c>
    </x:row>
    <x:row r="34" ht="33.599998474121094" hidden="0" customHeight="1">
      <x:c r="A34" s="4" t="str">
        <x:v>A030</x:v>
      </x:c>
      <x:c r="B34" s="4" t="str">
        <x:v>Assessing the outdoor operating temperature of photovoltaic modules</x:v>
      </x:c>
      <x:c r="C34" s="4" t="str">
        <x:v>David Faiman</x:v>
      </x:c>
      <x:c r="D34" s="11" t="n">
        <x:v>2008</x:v>
      </x:c>
      <x:c r="E34" s="10" t="str">
        <x:v>2; 3</x:v>
      </x:c>
      <x:c r="F34" s="4" t="str">
        <x:v>2.1; 3.2</x:v>
      </x:c>
      <x:c r="G34" s="4" t="str">
        <x:v>Artigos</x:v>
      </x:c>
      <x:c r="H34" s="4" t="str">
        <x:v>B13</x:v>
      </x:c>
      <x:c r="I34" s="4" t="str">
        <x:v>10.1002/pip.813</x:v>
      </x:c>
      <x:c r="J34" s="4" t="str">
        <x:v>FAIMAN (2008).pdf</x:v>
      </x:c>
      <x:c r="K34" s="4" t="str">
        <x:v>https://drive.google.com/file/d/1Rjvwzyk6KKqS9sLnZTubIKJR6B1STeoz/view?usp=drivesdk</x:v>
      </x:c>
      <x:c r="L34" s="4" t="str"/>
      <x:c r="M34" s="4" t="str">
        <x:v>https://drive.google.com/file/d/1a5bAatpefvDnnLc4ffZoFQJizKzCsnHV/view?usp=drivesdk</x:v>
      </x:c>
      <x:c r="N34" s="4" t="str">
        <x:v>https://drive.google.com/file/d/1Uv070GNaVXnDh_iGIPJl8v0DEyL55QXk/view?usp=drivesdk</x:v>
      </x:c>
      <x:c r="O34" s="4" t="str"/>
      <x:c r="P34" s="4" t="str"/>
      <x:c r="Q34" s="4" t="n">
        <x:v>0</x:v>
      </x:c>
      <x:c r="R34" s="4" t="n">
        <x:v>1</x:v>
      </x:c>
      <x:c r="S34" s="4" t="n">
        <x:v>1</x:v>
      </x:c>
      <x:c r="T34" s="4" t="n">
        <x:v>0</x:v>
      </x:c>
    </x:row>
    <x:row r="35" ht="33.599998474121094" hidden="0" customHeight="1">
      <x:c r="A35" s="4" t="str">
        <x:v>A031</x:v>
      </x:c>
      <x:c r="B35" s="4" t="str">
        <x:v>Optimized MPPT Controllers Using GA for Grid Connected Photovoltaic Systems, Comparative study</x:v>
      </x:c>
      <x:c r="C35" s="4" t="str">
        <x:v>Borni et al.</x:v>
      </x:c>
      <x:c r="D35" s="11" t="n">
        <x:v>2017</x:v>
      </x:c>
      <x:c r="E35" s="10" t="str">
        <x:v>3</x:v>
      </x:c>
      <x:c r="F35" s="4" t="str">
        <x:v>3.3; 3.4; 3.5</x:v>
      </x:c>
      <x:c r="G35" s="4" t="str">
        <x:v>Artigos</x:v>
      </x:c>
      <x:c r="H35" s="4" t="str"/>
      <x:c r="I35" s="4" t="str">
        <x:v>10.1016/j.egypro.2017.07.084</x:v>
      </x:c>
      <x:c r="J35" s="4" t="str">
        <x:v>BORNI (2017).pdf</x:v>
      </x:c>
      <x:c r="K35" s="4" t="str">
        <x:v>https://drive.google.com/file/d/1J-luBC0UGa48T5aDfBZmXwuLXxxM4ZEO/view?usp=drivesdk</x:v>
      </x:c>
      <x:c r="L35" s="4" t="str"/>
      <x:c r="M35" s="4" t="str"/>
      <x:c r="N35" s="4" t="str">
        <x:v>https://drive.google.com/file/d/1G4BVseQJ0AeuBrh3b4LsPktM1JOYHQ0u/view?usp=drivesdk</x:v>
      </x:c>
      <x:c r="O35" s="4" t="str"/>
      <x:c r="P35" s="4" t="str">
        <x:v>Extração textual contém trecho residual de template sobre district heating antes do título correto de Borni; conferir visualmente ao citar.</x:v>
      </x:c>
      <x:c r="Q35" s="4" t="n">
        <x:v>0</x:v>
      </x:c>
      <x:c r="R35" s="4" t="n">
        <x:v>0</x:v>
      </x:c>
      <x:c r="S35" s="4" t="n">
        <x:v>1</x:v>
      </x:c>
      <x:c r="T35" s="4" t="n">
        <x:v>0</x:v>
      </x:c>
    </x:row>
    <x:row r="36" ht="33.599998474121094" hidden="0" customHeight="1">
      <x:c r="A36" s="4" t="str">
        <x:v>A032</x:v>
      </x:c>
      <x:c r="B36" s="4" t="str">
        <x:v>Análise do comportamento da temperatura de um módulo fotovoltaico de silício policristalino operando sob as condições meteorológicas de Fortaleza-CE</x:v>
      </x:c>
      <x:c r="C36" s="4" t="str">
        <x:v>Souza et al.</x:v>
      </x:c>
      <x:c r="D36" s="11" t="n">
        <x:v>2020</x:v>
      </x:c>
      <x:c r="E36" s="10" t="str">
        <x:v>2; 3; 4</x:v>
      </x:c>
      <x:c r="F36" s="4" t="str">
        <x:v>2.1; 3.2; 4.1</x:v>
      </x:c>
      <x:c r="G36" s="4" t="str">
        <x:v>Artigos</x:v>
      </x:c>
      <x:c r="H36" s="4" t="str"/>
      <x:c r="I36" s="4" t="str"/>
      <x:c r="J36" s="4" t="str">
        <x:v>SOUZA et al (2020).pdf</x:v>
      </x:c>
      <x:c r="K36" s="4" t="str">
        <x:v>https://drive.google.com/file/d/1IO-5cgcMLgETNdnDpvA7FS8H7bekYEzW/view?usp=drivesdk</x:v>
      </x:c>
      <x:c r="L36" s="4" t="str"/>
      <x:c r="M36" s="4" t="str">
        <x:v>https://drive.google.com/file/d/1Ybairu2h0oU2iwJq2QnYSRqkTnmjxOlf/view?usp=drivesdk</x:v>
      </x:c>
      <x:c r="N36" s="4" t="str">
        <x:v>https://drive.google.com/file/d/1yCLdJjy18UD4U6UBC8c9Mvxpvcqjlavw/view?usp=drivesdk</x:v>
      </x:c>
      <x:c r="O36" s="4" t="str">
        <x:v>https://drive.google.com/file/d/19c4VuMIIoFaGUW04H6c8qAfEPDFSJXzm/view?usp=drivesdk</x:v>
      </x:c>
      <x:c r="P36" s="4" t="str"/>
      <x:c r="Q36" s="4" t="n">
        <x:v>0</x:v>
      </x:c>
      <x:c r="R36" s="4" t="n">
        <x:v>1</x:v>
      </x:c>
      <x:c r="S36" s="4" t="n">
        <x:v>1</x:v>
      </x:c>
      <x:c r="T36" s="4" t="n">
        <x:v>1</x:v>
      </x:c>
    </x:row>
    <x:row r="37" ht="33.599998474121094" hidden="0" customHeight="1">
      <x:c r="A37" s="4" t="str">
        <x:v>A033</x:v>
      </x:c>
      <x:c r="B37" s="4" t="str">
        <x:v>Influence of Long-Term and Short-Term Solar Radiation and Temperature Exposure on the Material Properties and Performance of Photovoltaic Panels: A Comprehensive Review</x:v>
      </x:c>
      <x:c r="C37" s="4" t="str">
        <x:v>Afonso et al.</x:v>
      </x:c>
      <x:c r="D37" s="11" t="n">
        <x:v>2025</x:v>
      </x:c>
      <x:c r="E37" s="10" t="str">
        <x:v>2; 3; 4</x:v>
      </x:c>
      <x:c r="F37" s="4" t="str">
        <x:v>2.1; 3.2; 4.1</x:v>
      </x:c>
      <x:c r="G37" s="4" t="str">
        <x:v>Artigos</x:v>
      </x:c>
      <x:c r="H37" s="4" t="str"/>
      <x:c r="I37" s="4" t="str">
        <x:v>10.3390/en18195072</x:v>
      </x:c>
      <x:c r="J37" s="4" t="str">
        <x:v>AFONSO et al (2025)</x:v>
      </x:c>
      <x:c r="K37" s="4" t="str">
        <x:v>https://drive.google.com/file/d/1SHxu2Wal8aS5qSRoq46aZs9m2VKXgpK0/view?usp=drivesdk</x:v>
      </x:c>
      <x:c r="L37" s="4" t="str"/>
      <x:c r="M37" s="4" t="str">
        <x:v>https://drive.google.com/file/d/1I9UlPf6hB6IIxMeeCinlJmExWlqKZnzK/view?usp=drivesdk</x:v>
      </x:c>
      <x:c r="N37" s="4" t="str">
        <x:v>https://drive.google.com/file/d/13Es3nkAKFpvnkqIeQrks7Eeyn9qgbkM1/view?usp=drivesdk</x:v>
      </x:c>
      <x:c r="O37" s="4" t="str">
        <x:v>https://drive.google.com/file/d/1TCM6JSeywq8Uw3zNgeZVxBnKZVHqkObL/view?usp=drivesdk</x:v>
      </x:c>
      <x:c r="P37" s="4" t="str"/>
      <x:c r="Q37" s="4" t="n">
        <x:v>0</x:v>
      </x:c>
      <x:c r="R37" s="4" t="n">
        <x:v>1</x:v>
      </x:c>
      <x:c r="S37" s="4" t="n">
        <x:v>1</x:v>
      </x:c>
      <x:c r="T37" s="4" t="n">
        <x:v>1</x:v>
      </x:c>
    </x:row>
    <x:row r="38" ht="33.599998474121094" hidden="0" customHeight="1">
      <x:c r="A38" s="4" t="str">
        <x:v>A034</x:v>
      </x:c>
      <x:c r="B38" s="4" t="str">
        <x:v>Handbook of Photovoltaic Science and Engineering</x:v>
      </x:c>
      <x:c r="C38" s="4" t="str">
        <x:v>Luque; Hegedus (ed.)</x:v>
      </x:c>
      <x:c r="D38" s="11" t="n">
        <x:v>2003</x:v>
      </x:c>
      <x:c r="E38" s="10" t="str">
        <x:v>1; 2; 3; 4</x:v>
      </x:c>
      <x:c r="F38" s="4" t="str">
        <x:v>1.2; 2.1; 2.3; 3.2; 3.3; 3.4; 3.5; 3.6; 4.1; 4.2; 4.3; 4.5</x:v>
      </x:c>
      <x:c r="G38" s="4" t="str">
        <x:v>Livros</x:v>
      </x:c>
      <x:c r="H38" s="4" t="str"/>
      <x:c r="I38" s="4" t="str"/>
      <x:c r="J38" s="4" t="str">
        <x:v>Luque e Hegedus (2003).pdf</x:v>
      </x:c>
      <x:c r="K38" s="4" t="str">
        <x:v>https://drive.google.com/file/d/1vOjaRvwXtvjh8UGmKFzbHRNh4-NvlleG/view?usp=drivesdk</x:v>
      </x:c>
      <x:c r="L38" s="4" t="str">
        <x:v>https://drive.google.com/file/d/1gHLYXkymfLiRuyNfYDDRuJ0KsKJByVdh/view?usp=drivesdk</x:v>
      </x:c>
      <x:c r="M38" s="4" t="str">
        <x:v>https://drive.google.com/file/d/1O48qbi-s9kA82K__wkA9p6ad2YAcmb6-/view?usp=drivesdk</x:v>
      </x:c>
      <x:c r="N38" s="4" t="str">
        <x:v>https://drive.google.com/file/d/1xPjGYe_NDNKC-4PJJABqkZE3lyzPtRxd/view?usp=drivesdk</x:v>
      </x:c>
      <x:c r="O38" s="4" t="str">
        <x:v>https://drive.google.com/file/d/1PNQ9PLxtLfdcwt53203zB386T0bN40yh/view?usp=drivesdk</x:v>
      </x:c>
      <x:c r="P38" s="4" t="str">
        <x:v>1ª edição. Apoio alternativo a B20; não satisfaz a edição de 2011 indicada.</x:v>
      </x:c>
      <x:c r="Q38" s="4" t="n">
        <x:v>1</x:v>
      </x:c>
      <x:c r="R38" s="4" t="n">
        <x:v>1</x:v>
      </x:c>
      <x:c r="S38" s="4" t="n">
        <x:v>1</x:v>
      </x:c>
      <x:c r="T38" s="4" t="n">
        <x:v>1</x:v>
      </x:c>
    </x:row>
    <x:row r="39" ht="33.599998474121094" hidden="0" customHeight="1">
      <x:c r="A39" s="4" t="str">
        <x:v>A035</x:v>
      </x:c>
      <x:c r="B39" s="4" t="str">
        <x:v>Advantages of the mean absolute error (MAE) over the root mean square error (RMSE) in assessing average model performance</x:v>
      </x:c>
      <x:c r="C39" s="4" t="str">
        <x:v>Willmott; Matsuura</x:v>
      </x:c>
      <x:c r="D39" s="11" t="n">
        <x:v>2005</x:v>
      </x:c>
      <x:c r="E39" s="10" t="str">
        <x:v>4</x:v>
      </x:c>
      <x:c r="F39" s="4" t="str">
        <x:v>4.4</x:v>
      </x:c>
      <x:c r="G39" s="4" t="str">
        <x:v>Artigos</x:v>
      </x:c>
      <x:c r="H39" s="4" t="str">
        <x:v>B39</x:v>
      </x:c>
      <x:c r="I39" s="4" t="str">
        <x:v>10.3354/cr030079</x:v>
      </x:c>
      <x:c r="J39" s="4" t="str">
        <x:v>Willmott e Matsuura (2005).pdf
</x:v>
      </x:c>
      <x:c r="K39" s="4" t="str">
        <x:v>https://drive.google.com/file/d/1btoLYnv1FDRkgp6qfb-Kjlnt3lypI9NN/view?usp=drivesdk</x:v>
      </x:c>
      <x:c r="L39" s="4" t="str"/>
      <x:c r="M39" s="4" t="str"/>
      <x:c r="N39" s="4" t="str"/>
      <x:c r="O39" s="4" t="str">
        <x:v>https://drive.google.com/file/d/10RiMS80gPltkfyN5SPcGonRpFIiqhdGv/view?usp=drivesdk</x:v>
      </x:c>
      <x:c r="P39" s="4" t="str"/>
      <x:c r="Q39" s="4" t="n">
        <x:v>0</x:v>
      </x:c>
      <x:c r="R39" s="4" t="n">
        <x:v>0</x:v>
      </x:c>
      <x:c r="S39" s="4" t="n">
        <x:v>0</x:v>
      </x:c>
      <x:c r="T39" s="4" t="n">
        <x:v>1</x:v>
      </x:c>
    </x:row>
    <x:row r="40" ht="33.599998474121094" hidden="0" customHeight="1">
      <x:c r="A40" s="4" t="str">
        <x:v>A036</x:v>
      </x:c>
      <x:c r="B40" s="4" t="str">
        <x:v>A review of validation methodologies and statistical performance indicators for modeled solar radiation data: Towards a better bankability of solar projects</x:v>
      </x:c>
      <x:c r="C40" s="4" t="str">
        <x:v>Christian A. Gueymard</x:v>
      </x:c>
      <x:c r="D40" s="11" t="n">
        <x:v>2014</x:v>
      </x:c>
      <x:c r="E40" s="10" t="str">
        <x:v>1; 4</x:v>
      </x:c>
      <x:c r="F40" s="4" t="str">
        <x:v>1.4; 4.4</x:v>
      </x:c>
      <x:c r="G40" s="4" t="str">
        <x:v>Artigos</x:v>
      </x:c>
      <x:c r="H40" s="4" t="str"/>
      <x:c r="I40" s="4" t="str">
        <x:v>10.1016/j.rser.2014.07.117</x:v>
      </x:c>
      <x:c r="J40" s="4" t="str">
        <x:v>gueymard2014.pdf</x:v>
      </x:c>
      <x:c r="K40" s="4" t="str">
        <x:v>https://drive.google.com/file/d/15Qi3wD0avXnJOcUhs9VO-Cgdz7mkoC2D/view?usp=drivesdk</x:v>
      </x:c>
      <x:c r="L40" s="4" t="str">
        <x:v>https://drive.google.com/file/d/1BqRNkwP0KBYc9Koh3NyJnTU8we3SWXLY/view?usp=drivesdk</x:v>
      </x:c>
      <x:c r="M40" s="4" t="str"/>
      <x:c r="N40" s="4" t="str"/>
      <x:c r="O40" s="4" t="str">
        <x:v>https://drive.google.com/file/d/1wP4nvK_T8NM-L82i0e8qjUJOoGTDQILu/view?usp=drivesdk</x:v>
      </x:c>
      <x:c r="P40" s="4" t="str">
        <x:v>Na seção 4.4, apoio metodológico às métricas; o objeto original é radiação solar, não validação elétrica FV.</x:v>
      </x:c>
      <x:c r="Q40" s="4" t="n">
        <x:v>1</x:v>
      </x:c>
      <x:c r="R40" s="4" t="n">
        <x:v>0</x:v>
      </x:c>
      <x:c r="S40" s="4" t="n">
        <x:v>0</x:v>
      </x:c>
      <x:c r="T40" s="4" t="n">
        <x:v>1</x:v>
      </x:c>
    </x:row>
    <x:row r="41" ht="33.599998474121094" hidden="0" customHeight="1">
      <x:c r="A41" s="4" t="str">
        <x:v>A037</x:v>
      </x:c>
      <x:c r="B41" s="4" t="str">
        <x:v>Global assessment of availability, reliability, and spatiotemporal variability in ground-based solar radiation measurements</x:v>
      </x:c>
      <x:c r="C41" s="4" t="str">
        <x:v>Sander et al.</x:v>
      </x:c>
      <x:c r="D41" s="11" t="n">
        <x:v>2026</x:v>
      </x:c>
      <x:c r="E41" s="10" t="str">
        <x:v>1</x:v>
      </x:c>
      <x:c r="F41" s="4" t="str">
        <x:v>1.3; 1.4</x:v>
      </x:c>
      <x:c r="G41" s="4" t="str">
        <x:v>Artigos</x:v>
      </x:c>
      <x:c r="H41" s="4" t="str"/>
      <x:c r="I41" s="4" t="str">
        <x:v>10.1016/j.solener.2026.114458</x:v>
      </x:c>
      <x:c r="J41" s="4" t="str">
        <x:v>Sander2026.pdf</x:v>
      </x:c>
      <x:c r="K41" s="4" t="str">
        <x:v>https://drive.google.com/file/d/1quj4DXoUw0b48W21DZi3d2jvWetsSvf9/view?usp=drivesdk</x:v>
      </x:c>
      <x:c r="L41" s="4" t="str">
        <x:v>https://drive.google.com/file/d/1iuk_AdhjFslffS2rErFyPnWBSe1NA_5i/view?usp=drivesdk</x:v>
      </x:c>
      <x:c r="M41" s="4" t="str"/>
      <x:c r="N41" s="4" t="str"/>
      <x:c r="O41" s="4" t="str"/>
      <x:c r="P41" s="4" t="str"/>
      <x:c r="Q41" s="4" t="n">
        <x:v>1</x:v>
      </x:c>
      <x:c r="R41" s="4" t="n">
        <x:v>0</x:v>
      </x:c>
      <x:c r="S41" s="4" t="n">
        <x:v>0</x:v>
      </x:c>
      <x:c r="T41" s="4" t="n">
        <x:v>0</x:v>
      </x:c>
    </x:row>
    <x:row r="42" ht="33.599998474121094" hidden="0" customHeight="1">
      <x:c r="A42" s="4" t="str">
        <x:v>A038</x:v>
      </x:c>
      <x:c r="B42" s="4" t="str">
        <x:v>Assessment of Solar Radiation Datasets for Building Energy Simulation</x:v>
      </x:c>
      <x:c r="C42" s="4" t="str">
        <x:v>Walsh García et al.</x:v>
      </x:c>
      <x:c r="D42" s="11" t="n">
        <x:v>2025</x:v>
      </x:c>
      <x:c r="E42" s="10" t="str">
        <x:v>1; 4</x:v>
      </x:c>
      <x:c r="F42" s="4" t="str">
        <x:v>1.4; 4.5</x:v>
      </x:c>
      <x:c r="G42" s="4" t="str">
        <x:v>Artigos</x:v>
      </x:c>
      <x:c r="H42" s="4" t="str"/>
      <x:c r="I42" s="4" t="str">
        <x:v>10.3390/buildings15183337</x:v>
      </x:c>
      <x:c r="J42" s="4" t="str">
        <x:v>walshgarcia2025.pdf</x:v>
      </x:c>
      <x:c r="K42" s="4" t="str">
        <x:v>https://drive.google.com/file/d/1yoHjzh-lg_e0ZRhA003ss7i4TEb3fp6h/view?usp=drivesdk</x:v>
      </x:c>
      <x:c r="L42" s="4" t="str">
        <x:v>https://drive.google.com/file/d/1EInYUi6oBTeeooiYquqGjJGaOLY5MzD-/view?usp=drivesdk</x:v>
      </x:c>
      <x:c r="M42" s="4" t="str"/>
      <x:c r="N42" s="4" t="str"/>
      <x:c r="O42" s="4" t="str">
        <x:v>https://drive.google.com/file/d/12W0y9IPv49UbTmaCJL2tjyemDgHc5iCB/view?usp=drivesdk</x:v>
      </x:c>
      <x:c r="P42" s="4" t="str">
        <x:v>Apoio à escolha de dados para simulação de edifícios.</x:v>
      </x:c>
      <x:c r="Q42" s="4" t="n">
        <x:v>1</x:v>
      </x:c>
      <x:c r="R42" s="4" t="n">
        <x:v>0</x:v>
      </x:c>
      <x:c r="S42" s="4" t="n">
        <x:v>0</x:v>
      </x:c>
      <x:c r="T42" s="4" t="n">
        <x:v>1</x:v>
      </x:c>
    </x:row>
    <x:row r="43" ht="33.599998474121094" hidden="0" customHeight="1">
      <x:c r="A43" s="4" t="str">
        <x:v>A039</x:v>
      </x:c>
      <x:c r="B43" s="4" t="str">
        <x:v>Heterogeneous ensemble for multi-step solar irradiance forecasting in Brazilian’s sites</x:v>
      </x:c>
      <x:c r="C43" s="4" t="str">
        <x:v>Santos Júnior et al.</x:v>
      </x:c>
      <x:c r="D43" s="11" t="n">
        <x:v>2023</x:v>
      </x:c>
      <x:c r="E43" s="10" t="str">
        <x:v>1</x:v>
      </x:c>
      <x:c r="F43" s="4" t="str">
        <x:v>1.4</x:v>
      </x:c>
      <x:c r="G43" s="4" t="str">
        <x:v>Artigos</x:v>
      </x:c>
      <x:c r="H43" s="4" t="str"/>
      <x:c r="I43" s="4" t="str">
        <x:v>10.1109/WCNPS60622.2023.10344420</x:v>
      </x:c>
      <x:c r="J43" s="4" t="str">
        <x:v>santosjunior2023.pdf</x:v>
      </x:c>
      <x:c r="K43" s="4" t="str">
        <x:v>https://drive.google.com/file/d/1FnRpciiWjCVXzbp_P-8KDN_D_e94bUrH/view?usp=drivesdk</x:v>
      </x:c>
      <x:c r="L43" s="4" t="str">
        <x:v>https://drive.google.com/file/d/1MnbCVkKDiNhhAdF4-yT1_WAT-FB71HvD/view?usp=drivesdk</x:v>
      </x:c>
      <x:c r="M43" s="4" t="str"/>
      <x:c r="N43" s="4" t="str"/>
      <x:c r="O43" s="4" t="str"/>
      <x:c r="P43" s="4" t="str">
        <x:v>Complemento: previsão de irradiância; não integra a cadeia elétrica principal.</x:v>
      </x:c>
      <x:c r="Q43" s="4" t="n">
        <x:v>1</x:v>
      </x:c>
      <x:c r="R43" s="4" t="n">
        <x:v>0</x:v>
      </x:c>
      <x:c r="S43" s="4" t="n">
        <x:v>0</x:v>
      </x:c>
      <x:c r="T43" s="4" t="n">
        <x:v>0</x:v>
      </x:c>
    </x:row>
    <x:row r="44" ht="33.599998474121094" hidden="0" customHeight="1">
      <x:c r="A44" s="4" t="str">
        <x:v>A040</x:v>
      </x:c>
      <x:c r="B44" s="4" t="str">
        <x:v>Multi-Timescale Validation of Satellite-Derived Global Horizontal Irradiance in Côte d’Ivoire</x:v>
      </x:c>
      <x:c r="C44" s="4" t="str">
        <x:v>Kakou et al.</x:v>
      </x:c>
      <x:c r="D44" s="11" t="n">
        <x:v>2025</x:v>
      </x:c>
      <x:c r="E44" s="10" t="str">
        <x:v>1</x:v>
      </x:c>
      <x:c r="F44" s="4" t="str">
        <x:v>1.4</x:v>
      </x:c>
      <x:c r="G44" s="4" t="str">
        <x:v>Artigos</x:v>
      </x:c>
      <x:c r="H44" s="4" t="str"/>
      <x:c r="I44" s="4" t="str">
        <x:v>10.3390/rs17060998</x:v>
      </x:c>
      <x:c r="J44" s="4" t="str">
        <x:v>kakou2025.pdf</x:v>
      </x:c>
      <x:c r="K44" s="4" t="str">
        <x:v>https://drive.google.com/file/d/1M7ucbumuu69zGpWnwDIAk0f_kmNkQUY5/view?usp=drivesdk</x:v>
      </x:c>
      <x:c r="L44" s="4" t="str">
        <x:v>https://drive.google.com/file/d/1imWJgWIwAcomK9gOw3OaFirLYZVhXOcL/view?usp=drivesdk</x:v>
      </x:c>
      <x:c r="M44" s="4" t="str"/>
      <x:c r="N44" s="4" t="str"/>
      <x:c r="O44" s="4" t="str"/>
      <x:c r="P44" s="4" t="str"/>
      <x:c r="Q44" s="4" t="n">
        <x:v>1</x:v>
      </x:c>
      <x:c r="R44" s="4" t="n">
        <x:v>0</x:v>
      </x:c>
      <x:c r="S44" s="4" t="n">
        <x:v>0</x:v>
      </x:c>
      <x:c r="T44" s="4" t="n">
        <x:v>0</x:v>
      </x:c>
    </x:row>
    <x:row r="45" ht="33.599998474121094" hidden="0" customHeight="1">
      <x:c r="A45" s="4" t="str">
        <x:v>A041</x:v>
      </x:c>
      <x:c r="B45" s="4" t="str">
        <x:v>A proposed methodology for quick assessment of timestamp and quality control results of solar radiation data</x:v>
      </x:c>
      <x:c r="C45" s="4" t="str">
        <x:v>Moreno-Tejera; Ramírez-Santigosa; Silva-Perez</x:v>
      </x:c>
      <x:c r="D45" s="11" t="n">
        <x:v>2015</x:v>
      </x:c>
      <x:c r="E45" s="10" t="str">
        <x:v>1</x:v>
      </x:c>
      <x:c r="F45" s="4" t="str">
        <x:v>1.4</x:v>
      </x:c>
      <x:c r="G45" s="4" t="str">
        <x:v>Artigos</x:v>
      </x:c>
      <x:c r="H45" s="4" t="str"/>
      <x:c r="I45" s="4" t="str">
        <x:v>10.1016/j.renene.2015.01.031</x:v>
      </x:c>
      <x:c r="J45" s="4" t="str">
        <x:v>morenotejera2015.pdf</x:v>
      </x:c>
      <x:c r="K45" s="4" t="str">
        <x:v>https://drive.google.com/file/d/1XzmGB9jQUOiU1yva-lpILogY7eCbH96r/view?usp=drivesdk</x:v>
      </x:c>
      <x:c r="L45" s="4" t="str">
        <x:v>https://drive.google.com/file/d/1DRzdVQqNJ_2ZfcbutgQ1UJs2i0t7GLDb/view?usp=drivesdk</x:v>
      </x:c>
      <x:c r="M45" s="4" t="str"/>
      <x:c r="N45" s="4" t="str"/>
      <x:c r="O45" s="4" t="str"/>
      <x:c r="P45" s="4" t="str"/>
      <x:c r="Q45" s="4" t="n">
        <x:v>1</x:v>
      </x:c>
      <x:c r="R45" s="4" t="n">
        <x:v>0</x:v>
      </x:c>
      <x:c r="S45" s="4" t="n">
        <x:v>0</x:v>
      </x:c>
      <x:c r="T45" s="4" t="n">
        <x:v>0</x:v>
      </x:c>
    </x:row>
    <x:row r="46" ht="33.599998474121094" hidden="0" customHeight="1">
      <x:c r="A46" s="4" t="str">
        <x:v>A042</x:v>
      </x:c>
      <x:c r="B46" s="4" t="str">
        <x:v>Validation and bias correction of satellite and reanalysis solar radiation products for tropical agriculture</x:v>
      </x:c>
      <x:c r="C46" s="4" t="str">
        <x:v>Carlos Ricardo Bojacá</x:v>
      </x:c>
      <x:c r="D46" s="11" t="n">
        <x:v>2026</x:v>
      </x:c>
      <x:c r="E46" s="10" t="str">
        <x:v>1</x:v>
      </x:c>
      <x:c r="F46" s="4" t="str">
        <x:v>1.4</x:v>
      </x:c>
      <x:c r="G46" s="4" t="str">
        <x:v>Artigos</x:v>
      </x:c>
      <x:c r="H46" s="4" t="str"/>
      <x:c r="I46" s="4" t="str">
        <x:v>10.1016/j.solener.2026.114984</x:v>
      </x:c>
      <x:c r="J46" s="4" t="str">
        <x:v>bojaca2026.pdf</x:v>
      </x:c>
      <x:c r="K46" s="4" t="str">
        <x:v>https://drive.google.com/file/d/1yJMTK-X0ALI0pXRfLcxoZ0D3EInuXqYg/view?usp=drivesdk</x:v>
      </x:c>
      <x:c r="L46" s="4" t="str">
        <x:v>https://drive.google.com/file/d/1YtuXx5AhPTQoQpvdYIwRwHWEovv6Zq4D/view?usp=drivesdk</x:v>
      </x:c>
      <x:c r="M46" s="4" t="str"/>
      <x:c r="N46" s="4" t="str"/>
      <x:c r="O46" s="4" t="str"/>
      <x:c r="P46" s="4" t="str">
        <x:v>Apoio à comparação de bases solares em ambiente tropical; aplicação original em agricultura.</x:v>
      </x:c>
      <x:c r="Q46" s="4" t="n">
        <x:v>1</x:v>
      </x:c>
      <x:c r="R46" s="4" t="n">
        <x:v>0</x:v>
      </x:c>
      <x:c r="S46" s="4" t="n">
        <x:v>0</x:v>
      </x:c>
      <x:c r="T46" s="4" t="n">
        <x:v>0</x:v>
      </x:c>
    </x:row>
    <x:row r="47" ht="33.599998474121094" hidden="0" customHeight="1">
      <x:c r="A47" s="4" t="str">
        <x:v>A043</x:v>
      </x:c>
      <x:c r="B47" s="4" t="str">
        <x:v>Some comments on the evaluation of model performance</x:v>
      </x:c>
      <x:c r="C47" s="4" t="str">
        <x:v>Cort J. Willmott</x:v>
      </x:c>
      <x:c r="D47" s="11" t="n">
        <x:v>1982</x:v>
      </x:c>
      <x:c r="E47" s="10" t="str">
        <x:v>4</x:v>
      </x:c>
      <x:c r="F47" s="4" t="str">
        <x:v>4.4</x:v>
      </x:c>
      <x:c r="G47" s="4" t="str">
        <x:v>Artigos</x:v>
      </x:c>
      <x:c r="H47" s="4" t="str"/>
      <x:c r="I47" s="4" t="str"/>
      <x:c r="J47" s="4" t="str">
        <x:v>willmott1982.pdf</x:v>
      </x:c>
      <x:c r="K47" s="4" t="str">
        <x:v>https://drive.google.com/file/d/1fq1F07CrNt3UWYW-8Bd8j2VncgcGlAzo/view?usp=drivesdk</x:v>
      </x:c>
      <x:c r="L47" s="4" t="str"/>
      <x:c r="M47" s="4" t="str"/>
      <x:c r="N47" s="4" t="str"/>
      <x:c r="O47" s="4" t="str">
        <x:v>https://drive.google.com/file/d/1sMdFVp70NM3dYnzCGgE9orS4UyOXtAah/view?usp=drivesdk</x:v>
      </x:c>
      <x:c r="P47" s="4" t="str">
        <x:v>Arquivo presente; extração automática sem texto útil. Identificação pelo catálogo original de referências; conferir folha de rosto antes da citação.</x:v>
      </x:c>
      <x:c r="Q47" s="4" t="n">
        <x:v>0</x:v>
      </x:c>
      <x:c r="R47" s="4" t="n">
        <x:v>0</x:v>
      </x:c>
      <x:c r="S47" s="4" t="n">
        <x:v>0</x:v>
      </x:c>
      <x:c r="T47" s="4" t="n">
        <x:v>1</x:v>
      </x:c>
    </x:row>
    <x:row r="48" ht="33.599998474121094" hidden="0" customHeight="1">
      <x:c r="A48" s="4" t="str">
        <x:v>A044</x:v>
      </x:c>
      <x:c r="B48" s="4" t="str">
        <x:v>The ERA5 global reanalysis</x:v>
      </x:c>
      <x:c r="C48" s="4" t="str">
        <x:v>Hersbach et al.</x:v>
      </x:c>
      <x:c r="D48" s="11" t="n">
        <x:v>2020</x:v>
      </x:c>
      <x:c r="E48" s="10" t="str">
        <x:v>1</x:v>
      </x:c>
      <x:c r="F48" s="4" t="str">
        <x:v>1.4</x:v>
      </x:c>
      <x:c r="G48" s="4" t="str">
        <x:v>Artigos</x:v>
      </x:c>
      <x:c r="H48" s="4" t="str"/>
      <x:c r="I48" s="4" t="str">
        <x:v>10.1002/qj.3803</x:v>
      </x:c>
      <x:c r="J48" s="4" t="str">
        <x:v>hersbach2020.pdf</x:v>
      </x:c>
      <x:c r="K48" s="4" t="str">
        <x:v>https://drive.google.com/file/d/1h_CmQA3CZ3FsgbWeM_YZ_f0uxzIIDLVe/view?usp=drivesdk</x:v>
      </x:c>
      <x:c r="L48" s="4" t="str">
        <x:v>https://drive.google.com/file/d/1VELE4J_7-5WZg8c91EucfR9CWfYqgBUx/view?usp=drivesdk</x:v>
      </x:c>
      <x:c r="M48" s="4" t="str"/>
      <x:c r="N48" s="4" t="str"/>
      <x:c r="O48" s="4" t="str"/>
      <x:c r="P48" s="4" t="str"/>
      <x:c r="Q48" s="4" t="n">
        <x:v>1</x:v>
      </x:c>
      <x:c r="R48" s="4" t="n">
        <x:v>0</x:v>
      </x:c>
      <x:c r="S48" s="4" t="n">
        <x:v>0</x:v>
      </x:c>
      <x:c r="T48" s="4" t="n">
        <x:v>0</x:v>
      </x:c>
    </x:row>
    <x:row r="49" ht="33.599998474121094" hidden="0" customHeight="1">
      <x:c r="A49" s="4" t="str">
        <x:v>A045</x:v>
      </x:c>
      <x:c r="B49" s="4" t="str">
        <x:v>Best Practices Handbook for the Collection and Use of Solar Resource Data for Solar Energy Applications: Fourth Edition</x:v>
      </x:c>
      <x:c r="C49" s="4" t="str">
        <x:v>Sengupta et al. (ed.)</x:v>
      </x:c>
      <x:c r="D49" s="11" t="n">
        <x:v>2024</x:v>
      </x:c>
      <x:c r="E49" s="10" t="str">
        <x:v>1; 3</x:v>
      </x:c>
      <x:c r="F49" s="4" t="str">
        <x:v>1.2; 1.3; 1.4; 3.1</x:v>
      </x:c>
      <x:c r="G49" s="4" t="str">
        <x:v>Relatórios e manuais</x:v>
      </x:c>
      <x:c r="H49" s="4" t="str"/>
      <x:c r="I49" s="4" t="str"/>
      <x:c r="J49" s="4" t="str">
        <x:v>sengupta2024.pdf</x:v>
      </x:c>
      <x:c r="K49" s="4" t="str">
        <x:v>https://drive.google.com/file/d/14dTTnQGSiYa_0AeRRBKxY9PMHFIv-FUP/view?usp=drivesdk</x:v>
      </x:c>
      <x:c r="L49" s="4" t="str">
        <x:v>https://drive.google.com/file/d/1aVnqVmkS-Zv5Dmt1yieBmonVTazTzJCX/view?usp=drivesdk</x:v>
      </x:c>
      <x:c r="M49" s="4" t="str"/>
      <x:c r="N49" s="4" t="str">
        <x:v>https://drive.google.com/file/d/1_O_E7DEM8sryGPb977OTMyMYs6LNl6w6/view?usp=drivesdk</x:v>
      </x:c>
      <x:c r="O49" s="4" t="str"/>
      <x:c r="P49" s="4" t="str">
        <x:v>4ª edição, NREL/TP-5D00-88300. Alternativa atual encontrada para B36, que pede a 3ª edição (2021). DOI próprio não identificado no texto inicial; não atribuir DOI da 3ª edição.</x:v>
      </x:c>
      <x:c r="Q49" s="4" t="n">
        <x:v>1</x:v>
      </x:c>
      <x:c r="R49" s="4" t="n">
        <x:v>0</x:v>
      </x:c>
      <x:c r="S49" s="4" t="n">
        <x:v>1</x:v>
      </x:c>
      <x:c r="T49" s="4" t="n">
        <x:v>0</x:v>
      </x:c>
    </x:row>
    <x:row r="50" ht="33.599998474121094" hidden="0" customHeight="1">
      <x:c r="A50" s="4" t="str">
        <x:v>A046</x:v>
      </x:c>
      <x:c r="B50" s="4" t="str">
        <x:v>Harmonizing the hourly solar radiation calculation from satellite-derived irradiance</x:v>
      </x:c>
      <x:c r="C50" s="4" t="str">
        <x:v>Zech et al.</x:v>
      </x:c>
      <x:c r="D50" s="11" t="n">
        <x:v>2026</x:v>
      </x:c>
      <x:c r="E50" s="10" t="str">
        <x:v>1</x:v>
      </x:c>
      <x:c r="F50" s="4" t="str">
        <x:v>1.4</x:v>
      </x:c>
      <x:c r="G50" s="4" t="str">
        <x:v>Artigos</x:v>
      </x:c>
      <x:c r="H50" s="4" t="str"/>
      <x:c r="I50" s="4" t="str">
        <x:v>10.1016/j.solener.2025.114243</x:v>
      </x:c>
      <x:c r="J50" s="4" t="str">
        <x:v>zech2026.pdf</x:v>
      </x:c>
      <x:c r="K50" s="4" t="str">
        <x:v>https://drive.google.com/file/d/1KqlY-ky6EcoXQxwf4AAjOh1ZxORs2Kfi/view?usp=drivesdk</x:v>
      </x:c>
      <x:c r="L50" s="4" t="str">
        <x:v>https://drive.google.com/file/d/1LhiYC4LbdnhkAXn1FOMRZVVxQ0gNB193/view?usp=drivesdk</x:v>
      </x:c>
      <x:c r="M50" s="4" t="str"/>
      <x:c r="N50" s="4" t="str"/>
      <x:c r="O50" s="4" t="str"/>
      <x:c r="P50" s="4" t="str"/>
      <x:c r="Q50" s="4" t="n">
        <x:v>1</x:v>
      </x:c>
      <x:c r="R50" s="4" t="n">
        <x:v>0</x:v>
      </x:c>
      <x:c r="S50" s="4" t="n">
        <x:v>0</x:v>
      </x:c>
      <x:c r="T50" s="4" t="n">
        <x:v>0</x:v>
      </x:c>
    </x:row>
    <x:row r="51" ht="33.599998474121094" hidden="0" customHeight="1">
      <x:c r="A51" s="4" t="str">
        <x:v>A047</x:v>
      </x:c>
      <x:c r="B51" s="4" t="str">
        <x:v>Comparative Analysis of Long-Term Solar Resource Databases for Global Horizontal Irradiance Prediction</x:v>
      </x:c>
      <x:c r="C51" s="4" t="str">
        <x:v>Sousa et al.</x:v>
      </x:c>
      <x:c r="D51" s="11" t="n">
        <x:v>2025</x:v>
      </x:c>
      <x:c r="E51" s="10" t="str">
        <x:v>1</x:v>
      </x:c>
      <x:c r="F51" s="4" t="str">
        <x:v>1.4</x:v>
      </x:c>
      <x:c r="G51" s="4" t="str">
        <x:v>Artigos</x:v>
      </x:c>
      <x:c r="H51" s="4" t="str"/>
      <x:c r="I51" s="4" t="str"/>
      <x:c r="J51" s="4" t="str">
        <x:v>sousa2025.pdf</x:v>
      </x:c>
      <x:c r="K51" s="4" t="str">
        <x:v>https://drive.google.com/file/d/1T3Zx8TOpqDeAovIlAkVkozpbXHrjs4ms/view?usp=drivesdk</x:v>
      </x:c>
      <x:c r="L51" s="4" t="str">
        <x:v>https://drive.google.com/file/d/1lFrkPRwC7xxuDNSMys28gkg7iJmp_uXa/view?usp=drivesdk</x:v>
      </x:c>
      <x:c r="M51" s="4" t="str"/>
      <x:c r="N51" s="4" t="str"/>
      <x:c r="O51" s="4" t="str"/>
      <x:c r="P51" s="4" t="str"/>
      <x:c r="Q51" s="4" t="n">
        <x:v>1</x:v>
      </x:c>
      <x:c r="R51" s="4" t="n">
        <x:v>0</x:v>
      </x:c>
      <x:c r="S51" s="4" t="n">
        <x:v>0</x:v>
      </x:c>
      <x:c r="T51" s="4" t="n">
        <x:v>0</x:v>
      </x:c>
    </x:row>
    <x:row r="52" ht="33.599998474121094" hidden="0" customHeight="1">
      <x:c r="A52" s="4" t="str">
        <x:v>A048</x:v>
      </x:c>
      <x:c r="B52" s="4" t="str">
        <x:v>Validation of the NSRDB–SUNY global horizontal irradiance in California</x:v>
      </x:c>
      <x:c r="C52" s="4" t="str">
        <x:v>Nottrott; Kleissl</x:v>
      </x:c>
      <x:c r="D52" s="11" t="n">
        <x:v>2010</x:v>
      </x:c>
      <x:c r="E52" s="10" t="str">
        <x:v>1</x:v>
      </x:c>
      <x:c r="F52" s="4" t="str">
        <x:v>1.4</x:v>
      </x:c>
      <x:c r="G52" s="4" t="str">
        <x:v>Artigos</x:v>
      </x:c>
      <x:c r="H52" s="4" t="str"/>
      <x:c r="I52" s="4" t="str">
        <x:v>10.1016/j.solener.2010.07.006</x:v>
      </x:c>
      <x:c r="J52" s="4" t="str">
        <x:v>nottrott2010.pdf</x:v>
      </x:c>
      <x:c r="K52" s="4" t="str">
        <x:v>https://drive.google.com/file/d/18QFBm8CsNukkC0Tw9NsGxcqjR0a9ihRF/view?usp=drivesdk</x:v>
      </x:c>
      <x:c r="L52" s="4" t="str">
        <x:v>https://drive.google.com/file/d/1YK6K80bT5y_Yn-h-1FrH8lWA_H5vvD0l/view?usp=drivesdk</x:v>
      </x:c>
      <x:c r="M52" s="4" t="str"/>
      <x:c r="N52" s="4" t="str"/>
      <x:c r="O52" s="4" t="str"/>
      <x:c r="P52" s="4" t="str"/>
      <x:c r="Q52" s="4" t="n">
        <x:v>1</x:v>
      </x:c>
      <x:c r="R52" s="4" t="n">
        <x:v>0</x:v>
      </x:c>
      <x:c r="S52" s="4" t="n">
        <x:v>0</x:v>
      </x:c>
      <x:c r="T52" s="4" t="n">
        <x:v>0</x:v>
      </x:c>
    </x:row>
    <x:row r="53" ht="33.599998474121094" hidden="0" customHeight="1">
      <x:c r="A53" s="4" t="str">
        <x:v>A049</x:v>
      </x:c>
      <x:c r="B53" s="4" t="str">
        <x:v>pvlib iotools—Open-source Python functions for seamless access to solar irradiance data</x:v>
      </x:c>
      <x:c r="C53" s="4" t="str">
        <x:v>Jensen et al.</x:v>
      </x:c>
      <x:c r="D53" s="11" t="n">
        <x:v>2023</x:v>
      </x:c>
      <x:c r="E53" s="10" t="str">
        <x:v>1</x:v>
      </x:c>
      <x:c r="F53" s="4" t="str">
        <x:v>1.4</x:v>
      </x:c>
      <x:c r="G53" s="4" t="str">
        <x:v>Artigos</x:v>
      </x:c>
      <x:c r="H53" s="4" t="str"/>
      <x:c r="I53" s="4" t="str">
        <x:v>10.1016/j.solener.2023.112092</x:v>
      </x:c>
      <x:c r="J53" s="4" t="str">
        <x:v>jensen2023.pdf</x:v>
      </x:c>
      <x:c r="K53" s="4" t="str">
        <x:v>https://drive.google.com/file/d/1TMa7P1HUxmw-ScK9j46tyvLlXW-D3zcL/view?usp=drivesdk</x:v>
      </x:c>
      <x:c r="L53" s="4" t="str">
        <x:v>https://drive.google.com/file/d/1RYR39zNd4BadlAWB1h90wjhBuT196DSB/view?usp=drivesdk</x:v>
      </x:c>
      <x:c r="M53" s="4" t="str"/>
      <x:c r="N53" s="4" t="str"/>
      <x:c r="O53" s="4" t="str"/>
      <x:c r="P53" s="4" t="str"/>
      <x:c r="Q53" s="4" t="n">
        <x:v>1</x:v>
      </x:c>
      <x:c r="R53" s="4" t="n">
        <x:v>0</x:v>
      </x:c>
      <x:c r="S53" s="4" t="n">
        <x:v>0</x:v>
      </x:c>
      <x:c r="T53" s="4" t="n">
        <x:v>0</x:v>
      </x:c>
    </x:row>
    <x:row r="54" ht="33.599998474121094" hidden="0" customHeight="1">
      <x:c r="A54" s="4" t="str">
        <x:v>A050</x:v>
      </x:c>
      <x:c r="B54" s="4" t="str">
        <x:v>Natural variability and sampling errors in solar radiation measurements for model validation over the Atmospheric Radiation Measurement Southern Great Plains region</x:v>
      </x:c>
      <x:c r="C54" s="4" t="str">
        <x:v>Li et al.</x:v>
      </x:c>
      <x:c r="D54" s="11" t="n">
        <x:v>2005</x:v>
      </x:c>
      <x:c r="E54" s="10" t="str">
        <x:v>1</x:v>
      </x:c>
      <x:c r="F54" s="4" t="str">
        <x:v>1.3; 1.4</x:v>
      </x:c>
      <x:c r="G54" s="4" t="str">
        <x:v>Artigos</x:v>
      </x:c>
      <x:c r="H54" s="4" t="str"/>
      <x:c r="I54" s="4" t="str">
        <x:v>10.1029/2004JD005028</x:v>
      </x:c>
      <x:c r="J54" s="4" t="str">
        <x:v>li2005.pdf</x:v>
      </x:c>
      <x:c r="K54" s="4" t="str">
        <x:v>https://drive.google.com/file/d/1wJPdOBdAQO_MausHCxc1Bb96RCYzDbP5/view?usp=drivesdk</x:v>
      </x:c>
      <x:c r="L54" s="4" t="str">
        <x:v>https://drive.google.com/file/d/1i4eknG0HlJ1jQrabnap_fPuHbU7stSDw/view?usp=drivesdk</x:v>
      </x:c>
      <x:c r="M54" s="4" t="str"/>
      <x:c r="N54" s="4" t="str"/>
      <x:c r="O54" s="4" t="str"/>
      <x:c r="P54" s="4" t="str"/>
      <x:c r="Q54" s="4" t="n">
        <x:v>1</x:v>
      </x:c>
      <x:c r="R54" s="4" t="n">
        <x:v>0</x:v>
      </x:c>
      <x:c r="S54" s="4" t="n">
        <x:v>0</x:v>
      </x:c>
      <x:c r="T54" s="4" t="n">
        <x:v>0</x:v>
      </x:c>
    </x:row>
    <x:row r="55" ht="33.599998474121094" hidden="0" customHeight="1">
      <x:c r="A55" s="4" t="str">
        <x:v>A051</x:v>
      </x:c>
      <x:c r="B55" s="4" t="str">
        <x:v>Validation of short and medium term operational solar radiation forecasts in the US</x:v>
      </x:c>
      <x:c r="C55" s="4" t="str">
        <x:v>Perez et al.</x:v>
      </x:c>
      <x:c r="D55" s="11" t="n">
        <x:v>2010</x:v>
      </x:c>
      <x:c r="E55" s="10" t="str">
        <x:v>1</x:v>
      </x:c>
      <x:c r="F55" s="4" t="str">
        <x:v>1.4</x:v>
      </x:c>
      <x:c r="G55" s="4" t="str">
        <x:v>Artigos</x:v>
      </x:c>
      <x:c r="H55" s="4" t="str"/>
      <x:c r="I55" s="4" t="str">
        <x:v>10.1016/j.solener.2010.08.014</x:v>
      </x:c>
      <x:c r="J55" s="4" t="str">
        <x:v>perez2010.pdf</x:v>
      </x:c>
      <x:c r="K55" s="4" t="str">
        <x:v>https://drive.google.com/file/d/1I-q7OSIO5gaZjF1bmpxmnUMEQ7AQStPv/view?usp=drivesdk</x:v>
      </x:c>
      <x:c r="L55" s="4" t="str">
        <x:v>https://drive.google.com/file/d/1qufzwhgyZc-W_GxeVJp9bor8xaYXv5Hn/view?usp=drivesdk</x:v>
      </x:c>
      <x:c r="M55" s="4" t="str"/>
      <x:c r="N55" s="4" t="str"/>
      <x:c r="O55" s="4" t="str"/>
      <x:c r="P55" s="4" t="str">
        <x:v>Não corresponde ao artigo de transposição de Perez et al. (1990), B25.</x:v>
      </x:c>
      <x:c r="Q55" s="4" t="n">
        <x:v>1</x:v>
      </x:c>
      <x:c r="R55" s="4" t="n">
        <x:v>0</x:v>
      </x:c>
      <x:c r="S55" s="4" t="n">
        <x:v>0</x:v>
      </x:c>
      <x:c r="T55" s="4" t="n">
        <x:v>0</x:v>
      </x:c>
    </x:row>
    <x:row r="56" ht="33.599998474121094" hidden="0" customHeight="1">
      <x:c r="A56" s="4" t="str">
        <x:v>A052</x:v>
      </x:c>
      <x:c r="B56" s="4" t="str">
        <x:v>Validation study of global horizontal irradiance products: a comparison between HelioClim-3, ERA5 reanalysis and weather stations in Côte d’Ivoire</x:v>
      </x:c>
      <x:c r="C56" s="4" t="str">
        <x:v>Soro et al.</x:v>
      </x:c>
      <x:c r="D56" s="11" t="n">
        <x:v>2026</x:v>
      </x:c>
      <x:c r="E56" s="10" t="str">
        <x:v>1</x:v>
      </x:c>
      <x:c r="F56" s="4" t="str">
        <x:v>1.4</x:v>
      </x:c>
      <x:c r="G56" s="4" t="str">
        <x:v>Artigos</x:v>
      </x:c>
      <x:c r="H56" s="4" t="str"/>
      <x:c r="I56" s="4" t="str">
        <x:v>10.1515/geo-2025-0944</x:v>
      </x:c>
      <x:c r="J56" s="4" t="str">
        <x:v>soro2026.pdf</x:v>
      </x:c>
      <x:c r="K56" s="4" t="str">
        <x:v>https://drive.google.com/file/d/15LWzvrPRdBC3Lwu01F75sBN5xr9uxP0i/view?usp=drivesdk</x:v>
      </x:c>
      <x:c r="L56" s="4" t="str">
        <x:v>https://drive.google.com/file/d/11DVqaWuy3_Pit4z25z_7o_la_BVDtnPt/view?usp=drivesdk</x:v>
      </x:c>
      <x:c r="M56" s="4" t="str"/>
      <x:c r="N56" s="4" t="str"/>
      <x:c r="O56" s="4" t="str"/>
      <x:c r="P56" s="4" t="str"/>
      <x:c r="Q56" s="4" t="n">
        <x:v>1</x:v>
      </x:c>
      <x:c r="R56" s="4" t="n">
        <x:v>0</x:v>
      </x:c>
      <x:c r="S56" s="4" t="n">
        <x:v>0</x:v>
      </x:c>
      <x:c r="T56" s="4" t="n">
        <x:v>0</x:v>
      </x:c>
    </x:row>
    <x:row r="57" ht="33.599998474121094" hidden="0" customHeight="1">
      <x:c r="A57" s="4" t="str">
        <x:v>A053</x:v>
      </x:c>
      <x:c r="B57" s="4" t="str">
        <x:v>Evaluation of Satellite and Reanalysis Models for Solar Irradiance Estimation in Northwest Argentina</x:v>
      </x:c>
      <x:c r="C57" s="4" t="str">
        <x:v>Ledesma et al.</x:v>
      </x:c>
      <x:c r="D57" s="11" t="n">
        <x:v>2025</x:v>
      </x:c>
      <x:c r="E57" s="10" t="str">
        <x:v>1</x:v>
      </x:c>
      <x:c r="F57" s="4" t="str">
        <x:v>1.4</x:v>
      </x:c>
      <x:c r="G57" s="4" t="str">
        <x:v>Artigos</x:v>
      </x:c>
      <x:c r="H57" s="4" t="str"/>
      <x:c r="I57" s="4" t="str"/>
      <x:c r="J57" s="4" t="str">
        <x:v>ledesma2025.pdf</x:v>
      </x:c>
      <x:c r="K57" s="4" t="str">
        <x:v>https://drive.google.com/file/d/1fwIQPLzxjm_g6WQF30UEbNTF2kAcXvhE/view?usp=drivesdk</x:v>
      </x:c>
      <x:c r="L57" s="4" t="str">
        <x:v>https://drive.google.com/file/d/1zhkRtuqufvks-NcC6zHjzX-cJJIl9Nt_/view?usp=drivesdk</x:v>
      </x:c>
      <x:c r="M57" s="4" t="str"/>
      <x:c r="N57" s="4" t="str"/>
      <x:c r="O57" s="4" t="str"/>
      <x:c r="P57" s="4" t="str">
        <x:v>DOI próprio não identificado com segurança na extração; não usar DOIs das referências.</x:v>
      </x:c>
      <x:c r="Q57" s="4" t="n">
        <x:v>1</x:v>
      </x:c>
      <x:c r="R57" s="4" t="n">
        <x:v>0</x:v>
      </x:c>
      <x:c r="S57" s="4" t="n">
        <x:v>0</x:v>
      </x:c>
      <x:c r="T57" s="4" t="n">
        <x:v>0</x:v>
      </x:c>
    </x:row>
    <x:row r="58" ht="33.599998474121094" hidden="0" customHeight="1">
      <x:c r="A58" s="4" t="str">
        <x:v>A054</x:v>
      </x:c>
      <x:c r="B58" s="4" t="str">
        <x:v>Evaluation of global horizontal irradiance estimates from ERA5 and COSMO-REA6 reanalyses using ground and satellite-based data</x:v>
      </x:c>
      <x:c r="C58" s="4" t="str">
        <x:v>Urraca et al.</x:v>
      </x:c>
      <x:c r="D58" s="11" t="n">
        <x:v>2018</x:v>
      </x:c>
      <x:c r="E58" s="10" t="str">
        <x:v>1</x:v>
      </x:c>
      <x:c r="F58" s="4" t="str">
        <x:v>1.4</x:v>
      </x:c>
      <x:c r="G58" s="4" t="str">
        <x:v>Artigos</x:v>
      </x:c>
      <x:c r="H58" s="4" t="str"/>
      <x:c r="I58" s="4" t="str">
        <x:v>10.1016/j.solener.2018.02.059</x:v>
      </x:c>
      <x:c r="J58" s="4" t="str">
        <x:v>urraca2018.pdf</x:v>
      </x:c>
      <x:c r="K58" s="4" t="str">
        <x:v>https://drive.google.com/file/d/1h2M12xSwR4CQIO9blT3z1TvtTUWJixpU/view?usp=drivesdk</x:v>
      </x:c>
      <x:c r="L58" s="4" t="str">
        <x:v>https://drive.google.com/file/d/1Tm_wOe1fnuZRu-emThfAtGlN_F0xO8V9/view?usp=drivesdk</x:v>
      </x:c>
      <x:c r="M58" s="4" t="str"/>
      <x:c r="N58" s="4" t="str"/>
      <x:c r="O58" s="4" t="str"/>
      <x:c r="P58" s="4" t="str"/>
      <x:c r="Q58" s="4" t="n">
        <x:v>1</x:v>
      </x:c>
      <x:c r="R58" s="4" t="n">
        <x:v>0</x:v>
      </x:c>
      <x:c r="S58" s="4" t="n">
        <x:v>0</x:v>
      </x:c>
      <x:c r="T58" s="4" t="n">
        <x:v>0</x:v>
      </x:c>
    </x:row>
    <x:row r="59" ht="33.599998474121094" hidden="0" customHeight="1">
      <x:c r="A59" s="4" t="str">
        <x:v>A055</x:v>
      </x:c>
      <x:c r="B59" s="4" t="str">
        <x:v>Impact of the Spatio-Temporal Mismatch Between Satellite and In Situ Measurements on Validations of Surface Solar Radiation</x:v>
      </x:c>
      <x:c r="C59" s="4" t="str">
        <x:v>Urraca; Lanconelli; Gobron</x:v>
      </x:c>
      <x:c r="D59" s="11" t="n">
        <x:v>2024</x:v>
      </x:c>
      <x:c r="E59" s="10" t="str">
        <x:v>1</x:v>
      </x:c>
      <x:c r="F59" s="4" t="str">
        <x:v>1.4</x:v>
      </x:c>
      <x:c r="G59" s="4" t="str">
        <x:v>Artigos</x:v>
      </x:c>
      <x:c r="H59" s="4" t="str"/>
      <x:c r="I59" s="4" t="str">
        <x:v>10.1029/2024JD041007</x:v>
      </x:c>
      <x:c r="J59" s="4" t="str">
        <x:v>urraca2024.pdf</x:v>
      </x:c>
      <x:c r="K59" s="4" t="str">
        <x:v>https://drive.google.com/file/d/1FYb7z9xDs8LJ5Qm58mKLMX0OAc6HnIeJ/view?usp=drivesdk</x:v>
      </x:c>
      <x:c r="L59" s="4" t="str">
        <x:v>https://drive.google.com/file/d/1zcAmQ2Jxadem156FAGRztntEEcqb-uhD/view?usp=drivesdk</x:v>
      </x:c>
      <x:c r="M59" s="4" t="str"/>
      <x:c r="N59" s="4" t="str"/>
      <x:c r="O59" s="4" t="str"/>
      <x:c r="P59" s="4" t="str"/>
      <x:c r="Q59" s="4" t="n">
        <x:v>1</x:v>
      </x:c>
      <x:c r="R59" s="4" t="n">
        <x:v>0</x:v>
      </x:c>
      <x:c r="S59" s="4" t="n">
        <x:v>0</x:v>
      </x:c>
      <x:c r="T59" s="4" t="n">
        <x:v>0</x:v>
      </x:c>
    </x:row>
    <x:row r="60" ht="50.400001525878906" hidden="0" customHeight="1">
      <x:c r="A60" s="4" t="str">
        <x:v>A056</x:v>
      </x:c>
      <x:c r="B60" s="4" t="str">
        <x:v>On the validity of using ground-based observations to validate geostationary-satellite-derived direct and diffuse surface solar irradiance: Quantifying the spatial mismatch and temporal averaging issues</x:v>
      </x:c>
      <x:c r="C60" s="4" t="str">
        <x:v>Qin et al.</x:v>
      </x:c>
      <x:c r="D60" s="11" t="n">
        <x:v>2022</x:v>
      </x:c>
      <x:c r="E60" s="10" t="str">
        <x:v>1</x:v>
      </x:c>
      <x:c r="F60" s="4" t="str">
        <x:v>1.4</x:v>
      </x:c>
      <x:c r="G60" s="4" t="str">
        <x:v>Artigos</x:v>
      </x:c>
      <x:c r="H60" s="4" t="str"/>
      <x:c r="I60" s="4" t="str">
        <x:v>10.1016/j.rse.2022.113179</x:v>
      </x:c>
      <x:c r="J60" s="4" t="str">
        <x:v>qin2022.pdf</x:v>
      </x:c>
      <x:c r="K60" s="4" t="str">
        <x:v>https://drive.google.com/file/d/1eSF7U4AHQBwSQDrmuefvozN4ZRRPrpyP/view?usp=drivesdk</x:v>
      </x:c>
      <x:c r="L60" s="4" t="str">
        <x:v>https://drive.google.com/file/d/1lTkKQAZPgv4DZLX0RjWJjIeJj5zRks1D/view?usp=drivesdk</x:v>
      </x:c>
      <x:c r="M60" s="4" t="str"/>
      <x:c r="N60" s="4" t="str"/>
      <x:c r="O60" s="4" t="str"/>
      <x:c r="P60" s="4" t="str"/>
      <x:c r="Q60" s="4" t="n">
        <x:v>1</x:v>
      </x:c>
      <x:c r="R60" s="4" t="n">
        <x:v>0</x:v>
      </x:c>
      <x:c r="S60" s="4" t="n">
        <x:v>0</x:v>
      </x:c>
      <x:c r="T60" s="4" t="n">
        <x:v>0</x:v>
      </x:c>
    </x:row>
    <x:row r="61" ht="33.599998474121094" hidden="0" customHeight="1">
      <x:c r="A61" s="4" t="str">
        <x:v>A057</x:v>
      </x:c>
      <x:c r="B61" s="4" t="str">
        <x:v>Worldwide validation of 8 satellite-derived and reanalysis solar radiation products: A preliminary evaluation and overall metrics for hourly data over 27 years</x:v>
      </x:c>
      <x:c r="C61" s="4" t="str">
        <x:v>Yang; Bright</x:v>
      </x:c>
      <x:c r="D61" s="11" t="n">
        <x:v>2020</x:v>
      </x:c>
      <x:c r="E61" s="10" t="str">
        <x:v>1</x:v>
      </x:c>
      <x:c r="F61" s="4" t="str">
        <x:v>1.4</x:v>
      </x:c>
      <x:c r="G61" s="4" t="str">
        <x:v>Artigos</x:v>
      </x:c>
      <x:c r="H61" s="4" t="str"/>
      <x:c r="I61" s="4" t="str">
        <x:v>10.1016/j.solener.2020.04.016</x:v>
      </x:c>
      <x:c r="J61" s="4" t="str">
        <x:v>yang2020.pdf</x:v>
      </x:c>
      <x:c r="K61" s="4" t="str">
        <x:v>https://drive.google.com/file/d/1W2d4VFXt7JBwDSeeP-Z-zuCSj7nG_xiM/view?usp=drivesdk</x:v>
      </x:c>
      <x:c r="L61" s="4" t="str">
        <x:v>https://drive.google.com/file/d/1UFC0GJVEhagCVHePZGHb0wzqBNr-Dcy8/view?usp=drivesdk</x:v>
      </x:c>
      <x:c r="M61" s="4" t="str"/>
      <x:c r="N61" s="4" t="str"/>
      <x:c r="O61" s="4" t="str"/>
      <x:c r="P61" s="4" t="str"/>
      <x:c r="Q61" s="4" t="n">
        <x:v>1</x:v>
      </x:c>
      <x:c r="R61" s="4" t="n">
        <x:v>0</x:v>
      </x:c>
      <x:c r="S61" s="4" t="n">
        <x:v>0</x:v>
      </x:c>
      <x:c r="T61" s="4" t="n">
        <x:v>0</x:v>
      </x:c>
    </x:row>
    <x:row r="62" ht="33.599998474121094" hidden="0" customHeight="1">
      <x:c r="A62" s="4" t="str">
        <x:v>A058</x:v>
      </x:c>
      <x:c r="B62" s="4" t="str">
        <x:v>A correct validation of the National Solar Radiation Data Base (NSRDB)</x:v>
      </x:c>
      <x:c r="C62" s="4" t="str">
        <x:v>Dazhi Yang</x:v>
      </x:c>
      <x:c r="D62" s="11" t="n">
        <x:v>2018</x:v>
      </x:c>
      <x:c r="E62" s="10" t="str">
        <x:v>1</x:v>
      </x:c>
      <x:c r="F62" s="4" t="str">
        <x:v>1.4</x:v>
      </x:c>
      <x:c r="G62" s="4" t="str">
        <x:v>Artigos</x:v>
      </x:c>
      <x:c r="H62" s="4" t="str"/>
      <x:c r="I62" s="4" t="str">
        <x:v>10.1016/j.rser.2018.08.023</x:v>
      </x:c>
      <x:c r="J62" s="4" t="str">
        <x:v>yang2018.pdf</x:v>
      </x:c>
      <x:c r="K62" s="4" t="str">
        <x:v>https://drive.google.com/file/d/1reOyGW7Rh1TJa4nNIsU69da6023eorMa/view?usp=drivesdk</x:v>
      </x:c>
      <x:c r="L62" s="4" t="str">
        <x:v>https://drive.google.com/file/d/1EAR9eLXUcMD-rzhu030XkWX5g0gT7bBM/view?usp=drivesdk</x:v>
      </x:c>
      <x:c r="M62" s="4" t="str"/>
      <x:c r="N62" s="4" t="str"/>
      <x:c r="O62" s="4" t="str"/>
      <x:c r="P62" s="4" t="str"/>
      <x:c r="Q62" s="4" t="n">
        <x:v>1</x:v>
      </x:c>
      <x:c r="R62" s="4" t="n">
        <x:v>0</x:v>
      </x:c>
      <x:c r="S62" s="4" t="n">
        <x:v>0</x:v>
      </x:c>
      <x:c r="T62" s="4" t="n">
        <x:v>0</x:v>
      </x:c>
    </x:row>
    <x:row r="63" ht="33.599998474121094" hidden="0" customHeight="1">
      <x:c r="A63" s="4" t="str">
        <x:v>A059</x:v>
      </x:c>
      <x:c r="B63" s="4" t="str">
        <x:v>Comparação do impacto da temperatura no desempenho de módulos fotovoltaicos estáticos e com sistemas de rastreamento solar (L-O, L-O + N-S)</x:v>
      </x:c>
      <x:c r="C63" s="4" t="str">
        <x:v>Debastiani et al.</x:v>
      </x:c>
      <x:c r="D63" s="11" t="n">
        <x:v>2022</x:v>
      </x:c>
      <x:c r="E63" s="10" t="str">
        <x:v>2; 3; 4</x:v>
      </x:c>
      <x:c r="F63" s="4" t="str">
        <x:v>2.1; 2.4; 3.2; 4.1</x:v>
      </x:c>
      <x:c r="G63" s="4" t="str">
        <x:v>Artigos</x:v>
      </x:c>
      <x:c r="H63" s="4" t="str"/>
      <x:c r="I63" s="4" t="str">
        <x:v>10.33448/rsd-v11i4.27220</x:v>
      </x:c>
      <x:c r="J63" s="4" t="str">
        <x:v>Debastiani et al. (2022).pdf</x:v>
      </x:c>
      <x:c r="K63" s="4" t="str">
        <x:v>https://drive.google.com/file/d/1LJDaj_sR6TLeyI6EutbKQjrIUNP9aNmP/view?usp=drivesdk</x:v>
      </x:c>
      <x:c r="L63" s="4" t="str"/>
      <x:c r="M63" s="4" t="str">
        <x:v>https://drive.google.com/file/d/13SqiSc07JEX6K6Vu6i9qotLbzfnfSueI/view?usp=drivesdk</x:v>
      </x:c>
      <x:c r="N63" s="4" t="str">
        <x:v>https://drive.google.com/file/d/1PLTIC4i3z4xSiwEnio9xWyqWMi2TSET9/view?usp=drivesdk</x:v>
      </x:c>
      <x:c r="O63" s="4" t="str">
        <x:v>https://drive.google.com/file/d/1TYat2AR6arZmzb2Cdv1DC3yErNA_iLVK/view?usp=drivesdk</x:v>
      </x:c>
      <x:c r="P63" s="4" t="str"/>
      <x:c r="Q63" s="4" t="n">
        <x:v>0</x:v>
      </x:c>
      <x:c r="R63" s="4" t="n">
        <x:v>1</x:v>
      </x:c>
      <x:c r="S63" s="4" t="n">
        <x:v>1</x:v>
      </x:c>
      <x:c r="T63" s="4" t="n">
        <x:v>1</x:v>
      </x:c>
    </x:row>
    <x:row r="64" ht="33.599998474121094" hidden="0" customHeight="1">
      <x:c r="A64" s="4" t="str">
        <x:v>A060</x:v>
      </x:c>
      <x:c r="B64" s="4" t="str">
        <x:v>Photovoltaic Potential of Urbanized Areas in the State of Paraíba Using Geotechnologies</x:v>
      </x:c>
      <x:c r="C64" s="4" t="str">
        <x:v>Francisco et al.</x:v>
      </x:c>
      <x:c r="D64" s="11" t="n">
        <x:v>2023</x:v>
      </x:c>
      <x:c r="E64" s="10" t="str">
        <x:v>1; 2</x:v>
      </x:c>
      <x:c r="F64" s="4" t="str">
        <x:v>1.4; 2.4</x:v>
      </x:c>
      <x:c r="G64" s="4" t="str">
        <x:v>Artigos</x:v>
      </x:c>
      <x:c r="H64" s="4" t="str"/>
      <x:c r="I64" s="4" t="str"/>
      <x:c r="J64" s="4" t="str">
        <x:v>PotencialFotovoltaicodereasUrbanizadasdoEstadodaParabaUtilizandoGeotecnologias.pdf</x:v>
      </x:c>
      <x:c r="K64" s="4" t="str">
        <x:v>https://drive.google.com/file/d/1X_-M9lc1Hl3udYQO8uV1qQdzBQRdZyhT/view?usp=drivesdk</x:v>
      </x:c>
      <x:c r="L64" s="4" t="str">
        <x:v>https://drive.google.com/file/d/1xKF7GHK7p6CfxNkJf6flc43yG4_UD3cr/view?usp=drivesdk</x:v>
      </x:c>
      <x:c r="M64" s="4" t="str">
        <x:v>https://drive.google.com/file/d/1CJLtjZy34n3hObA9-v3w-PsgHpc6v5kr/view?usp=drivesdk</x:v>
      </x:c>
      <x:c r="N64" s="4" t="str"/>
      <x:c r="O64" s="4" t="str"/>
      <x:c r="P64" s="4" t="str">
        <x:v>Título e ano (2023) conferidos no PDF.</x:v>
      </x:c>
      <x:c r="Q64" s="4" t="n">
        <x:v>1</x:v>
      </x:c>
      <x:c r="R64" s="4" t="n">
        <x:v>1</x:v>
      </x:c>
      <x:c r="S64" s="4" t="n">
        <x:v>0</x:v>
      </x:c>
      <x:c r="T64" s="4" t="n">
        <x:v>0</x:v>
      </x:c>
    </x:row>
    <x:row r="65" ht="33.599998474121094" hidden="0" customHeight="1">
      <x:c r="A65" s="4" t="str">
        <x:v>A061</x:v>
      </x:c>
      <x:c r="B65" s="4" t="str">
        <x:v>Impactos no microclima associados à substituição da vegetação natural por placas fotovoltaicas</x:v>
      </x:c>
      <x:c r="C65" s="4" t="str">
        <x:v>Filipe Tawã Gomes</x:v>
      </x:c>
      <x:c r="D65" s="11" t="n">
        <x:v>2022</x:v>
      </x:c>
      <x:c r="E65" s="10" t="str">
        <x:v>2</x:v>
      </x:c>
      <x:c r="F65" s="4" t="str">
        <x:v>2.1; 2.2</x:v>
      </x:c>
      <x:c r="G65" s="4" t="str">
        <x:v>Outros documentos</x:v>
      </x:c>
      <x:c r="H65" s="4" t="str"/>
      <x:c r="I65" s="4" t="str"/>
      <x:c r="J65" s="4" t="str">
        <x:v>TCC - FILIPE TAWA GOMES.pdf</x:v>
      </x:c>
      <x:c r="K65" s="4" t="str">
        <x:v>https://drive.google.com/file/d/1c00OkdesGMHoT9tioWGmmmcpH4SwuWm-/view?usp=drivesdk</x:v>
      </x:c>
      <x:c r="L65" s="4" t="str"/>
      <x:c r="M65" s="4" t="str">
        <x:v>https://drive.google.com/file/d/1lgRTMUUyTlY_qZ-LPB2mCqxozM_9PwVi/view?usp=drivesdk</x:v>
      </x:c>
      <x:c r="N65" s="4" t="str"/>
      <x:c r="O65" s="4" t="str"/>
      <x:c r="P65" s="4" t="str">
        <x:v>TCC de Engenharia Ambiental; complemento de microclima e entorno.</x:v>
      </x:c>
      <x:c r="Q65" s="4" t="n">
        <x:v>0</x:v>
      </x:c>
      <x:c r="R65" s="4" t="n">
        <x:v>1</x:v>
      </x:c>
      <x:c r="S65" s="4" t="n">
        <x:v>0</x:v>
      </x:c>
      <x:c r="T65" s="4" t="n">
        <x:v>0</x:v>
      </x:c>
    </x:row>
    <x:row r="66" ht="50.400001525878906" hidden="0" customHeight="1">
      <x:c r="A66" s="4" t="str">
        <x:v>A062</x:v>
      </x:c>
      <x:c r="B66" s="4" t="str">
        <x:v>The Role of Spatial Databases for Climatic and Solar/Wind Energy Generation Studies: A Bibliometric Review</x:v>
      </x:c>
      <x:c r="C66" s="4" t="str">
        <x:v>Azevedo Neto; Lopes; Abrahão</x:v>
      </x:c>
      <x:c r="D66" s="11" t="n">
        <x:v>2023</x:v>
      </x:c>
      <x:c r="E66" s="10" t="str">
        <x:v>1</x:v>
      </x:c>
      <x:c r="F66" s="4" t="str">
        <x:v>1.4</x:v>
      </x:c>
      <x:c r="G66" s="4" t="str">
        <x:v>Artigos</x:v>
      </x:c>
      <x:c r="H66" s="4" t="str"/>
      <x:c r="I66" s="4" t="str">
        <x:v>10.1109/WCNPS60622.2023.10345313</x:v>
      </x:c>
      <x:c r="J66" s="4" t="str">
        <x:v>2023_WCNPS_Adonias, Felipe, Raphael Abrahao_The Role of Spatial Databases for Climatic and Solar Wind Energy Generation Studies.pdf</x:v>
      </x:c>
      <x:c r="K66" s="4" t="str">
        <x:v>https://drive.google.com/file/d/1ucVsrSloqY8qq9Tp_vyBdj_i52S2ILAc/view?usp=drivesdk</x:v>
      </x:c>
      <x:c r="L66" s="4" t="str">
        <x:v>https://drive.google.com/file/d/1YaQV5vaXAalFXmOPVAEtrAiy-YuSAFvb/view?usp=drivesdk</x:v>
      </x:c>
      <x:c r="M66" s="4" t="str"/>
      <x:c r="N66" s="4" t="str"/>
      <x:c r="O66" s="4" t="str"/>
      <x:c r="P66" s="4" t="str">
        <x:v>Revisão bibliométrica complementar sobre fontes de dados.</x:v>
      </x:c>
      <x:c r="Q66" s="4" t="n">
        <x:v>1</x:v>
      </x:c>
      <x:c r="R66" s="4" t="n">
        <x:v>0</x:v>
      </x:c>
      <x:c r="S66" s="4" t="n">
        <x:v>0</x:v>
      </x:c>
      <x:c r="T66" s="4" t="n">
        <x:v>0</x:v>
      </x:c>
    </x:row>
    <x:row r="67" ht="50.400001525878906" hidden="0" customHeight="1">
      <x:c r="A67" s="4" t="str">
        <x:v>A063</x:v>
      </x:c>
      <x:c r="B67" s="4" t="str">
        <x:v>Assessing the Impact of Inverter Failures on the Efficiency of Photovoltaic Generators</x:v>
      </x:c>
      <x:c r="C67" s="4" t="str">
        <x:v>Azevedo Neto; Lopes; Abrahão</x:v>
      </x:c>
      <x:c r="D67" s="11" t="n">
        <x:v>2024</x:v>
      </x:c>
      <x:c r="E67" s="10" t="str">
        <x:v>3; 4</x:v>
      </x:c>
      <x:c r="F67" s="4" t="str">
        <x:v>3.5; 4.1; 4.3; 4.4</x:v>
      </x:c>
      <x:c r="G67" s="4" t="str">
        <x:v>Artigos</x:v>
      </x:c>
      <x:c r="H67" s="4" t="str"/>
      <x:c r="I67" s="4" t="str">
        <x:v>10.1109/WCNPS65035.2024.10814549</x:v>
      </x:c>
      <x:c r="J67" s="4" t="str">
        <x:v>2024_WCNPS_Adonias, Felipe, Raphael Abrahao - Assessing the Impact of Inverter Failures on the Efficiency of Photovoltaic Generators.pdf</x:v>
      </x:c>
      <x:c r="K67" s="4" t="str">
        <x:v>https://drive.google.com/file/d/11EhLmG-zI8wBhVhVsqPPWbmUJISlKBTn/view?usp=drivesdk</x:v>
      </x:c>
      <x:c r="L67" s="4" t="str"/>
      <x:c r="M67" s="4" t="str"/>
      <x:c r="N67" s="4" t="str">
        <x:v>https://drive.google.com/file/d/1WtGwY-DaPOiIT4AAw-7Hs4y9rT23C_Tz/view?usp=drivesdk</x:v>
      </x:c>
      <x:c r="O67" s="4" t="str">
        <x:v>https://drive.google.com/file/d/1_inYwJw735_0DTJQws5vy7ytWEdi8Ho9/view?usp=drivesdk</x:v>
      </x:c>
      <x:c r="P67" s="4" t="str"/>
      <x:c r="Q67" s="4" t="n">
        <x:v>0</x:v>
      </x:c>
      <x:c r="R67" s="4" t="n">
        <x:v>0</x:v>
      </x:c>
      <x:c r="S67" s="4" t="n">
        <x:v>1</x:v>
      </x:c>
      <x:c r="T67" s="4" t="n">
        <x:v>1</x:v>
      </x:c>
    </x:row>
    <x:row r="68" ht="33.599998474121094" hidden="0" customHeight="1">
      <x:c r="A68" s="4" t="str">
        <x:v>A064</x:v>
      </x:c>
      <x:c r="B68" s="4" t="str">
        <x:v>Applied Photovoltaics</x:v>
      </x:c>
      <x:c r="C68" s="4" t="str">
        <x:v>Wenham et al.</x:v>
      </x:c>
      <x:c r="D68" s="11" t="n">
        <x:v>2007</x:v>
      </x:c>
      <x:c r="E68" s="10" t="str">
        <x:v>2; 3; 4</x:v>
      </x:c>
      <x:c r="F68" s="4" t="str">
        <x:v>2.1; 2.3; 2.4; 3.3; 3.4; 3.5; 4.1; 4.2; 4.3</x:v>
      </x:c>
      <x:c r="G68" s="4" t="str">
        <x:v>Livros</x:v>
      </x:c>
      <x:c r="H68" s="4" t="str"/>
      <x:c r="I68" s="4" t="str"/>
      <x:c r="J68" s="4" t="str">
        <x:v>Wenham et al. (2007).pdf</x:v>
      </x:c>
      <x:c r="K68" s="4" t="str">
        <x:v>https://drive.google.com/file/d/1dJx2kHFSuVs61_M88_itBOF5TfJBDJWE/view?usp=drivesdk</x:v>
      </x:c>
      <x:c r="L68" s="4" t="str"/>
      <x:c r="M68" s="4" t="str">
        <x:v>https://drive.google.com/file/d/1OBIqu0zLjqh7-HFmi7HZh1jSQIFZjOuB/view?usp=drivesdk</x:v>
      </x:c>
      <x:c r="N68" s="4" t="str">
        <x:v>https://drive.google.com/file/d/1WftmjKKQU-R8IeNpCHoBUh3RzkDsxP7s/view?usp=drivesdk</x:v>
      </x:c>
      <x:c r="O68" s="4" t="str">
        <x:v>https://drive.google.com/file/d/1fOmjHZBM0LWuAn6Ez4z9k7EChbPfTv7k/view?usp=drivesdk</x:v>
      </x:c>
      <x:c r="P68" s="4" t="str"/>
      <x:c r="Q68" s="4" t="n">
        <x:v>0</x:v>
      </x:c>
      <x:c r="R68" s="4" t="n">
        <x:v>1</x:v>
      </x:c>
      <x:c r="S68" s="4" t="n">
        <x:v>1</x:v>
      </x:c>
      <x:c r="T68" s="4" t="n">
        <x:v>1</x:v>
      </x:c>
    </x:row>
    <x:row r="69" ht="33.599998474121094" hidden="0" customHeight="1">
      <x:c r="A69" s="4" t="str">
        <x:v>A065</x:v>
      </x:c>
      <x:c r="B69" s="4" t="str">
        <x:v>Solar Position Algorithm for Solar Radiation Applications — NREL/TP-560-34302</x:v>
      </x:c>
      <x:c r="C69" s="4" t="str">
        <x:v>Reda; Andreas</x:v>
      </x:c>
      <x:c r="D69" s="11" t="n">
        <x:v>2008</x:v>
      </x:c>
      <x:c r="E69" s="10" t="str">
        <x:v>1; 2; 3</x:v>
      </x:c>
      <x:c r="F69" s="4" t="str">
        <x:v>1.1; 2.4; 3.1</x:v>
      </x:c>
      <x:c r="G69" s="4" t="str">
        <x:v>Relatórios e manuais</x:v>
      </x:c>
      <x:c r="H69" s="4" t="str">
        <x:v>B32</x:v>
      </x:c>
      <x:c r="I69" s="4" t="str"/>
      <x:c r="J69" s="4" t="str">
        <x:v>SPA_Reda_Andreas_2008.pdf</x:v>
      </x:c>
      <x:c r="K69" s="4" t="str">
        <x:v>https://drive.google.com/file/d/15FdGwLdGkhAxsqNVuXHVX0YZQzBMaq84/view?usp=drivesdk</x:v>
      </x:c>
      <x:c r="L69" s="4" t="str">
        <x:v>https://drive.google.com/file/d/1uUE7A-W7yY-HZRcw0FFs3g0nF_Yh5i4F/view?usp=drivesdk</x:v>
      </x:c>
      <x:c r="M69" s="4" t="str">
        <x:v>https://drive.google.com/file/d/1J4MZeLYQ_xQf5xSQUa_UTu8cVztc8uNU/view?usp=drivesdk</x:v>
      </x:c>
      <x:c r="N69" s="4" t="str">
        <x:v>https://drive.google.com/file/d/12ErnGEE8M-fOJamwtCfLstXcgJ7NBzS-/view?usp=drivesdk</x:v>
      </x:c>
      <x:c r="O69" s="4" t="str"/>
      <x:c r="P69" s="4" t="str">
        <x:v>Relatório revisado em 2008; distinto do artigo de 2004, B31.</x:v>
      </x:c>
      <x:c r="Q69" s="4" t="n">
        <x:v>1</x:v>
      </x:c>
      <x:c r="R69" s="4" t="n">
        <x:v>1</x:v>
      </x:c>
      <x:c r="S69" s="4" t="n">
        <x:v>1</x:v>
      </x:c>
      <x:c r="T69" s="4" t="n">
        <x:v>0</x:v>
      </x:c>
    </x:row>
    <x:row r="70" ht="33.599998474121094" hidden="0" customHeight="1">
      <x:c r="A70" s="4" t="str">
        <x:v>A066</x:v>
      </x:c>
      <x:c r="B70" s="4" t="str">
        <x:v>Performance Parameters for Grid-Connected PV Systems — NREL/CP-520-37358</x:v>
      </x:c>
      <x:c r="C70" s="4" t="str">
        <x:v>Marion et al.</x:v>
      </x:c>
      <x:c r="D70" s="11" t="n">
        <x:v>2005</x:v>
      </x:c>
      <x:c r="E70" s="10" t="str">
        <x:v>3; 4</x:v>
      </x:c>
      <x:c r="F70" s="4" t="str">
        <x:v>3.6; 4.1; 4.2; 4.3</x:v>
      </x:c>
      <x:c r="G70" s="4" t="str">
        <x:v>Relatórios e manuais</x:v>
      </x:c>
      <x:c r="H70" s="4" t="str">
        <x:v>B22</x:v>
      </x:c>
      <x:c r="I70" s="4" t="str">
        <x:v>10.1109/PVSC.2005.1488451</x:v>
      </x:c>
      <x:c r="J70" s="4" t="str">
        <x:v>Performance_Parameters_Marion_2005.pdf</x:v>
      </x:c>
      <x:c r="K70" s="4" t="str">
        <x:v>https://drive.google.com/file/d/1i3aE5VsfPODVA44ZiPt5sPi5JSMnWuPM/view?usp=drivesdk</x:v>
      </x:c>
      <x:c r="L70" s="4" t="str"/>
      <x:c r="M70" s="4" t="str"/>
      <x:c r="N70" s="4" t="str">
        <x:v>https://drive.google.com/file/d/1MPTgWBkbLYYRfkAIcvqC7_JwsFr5VXYe/view?usp=drivesdk</x:v>
      </x:c>
      <x:c r="O70" s="4" t="str">
        <x:v>https://drive.google.com/file/d/15ZaaNMcrWZfLthGDZ0_Sxrq3xOFRI6iw/view?usp=drivesdk</x:v>
      </x:c>
      <x:c r="P70" s="4" t="str">
        <x:v>Versão de relatório/manuscrito do trabalho em evento; essa versão física deve ser indicada ao citar páginas.</x:v>
      </x:c>
      <x:c r="Q70" s="4" t="n">
        <x:v>0</x:v>
      </x:c>
      <x:c r="R70" s="4" t="n">
        <x:v>0</x:v>
      </x:c>
      <x:c r="S70" s="4" t="n">
        <x:v>1</x:v>
      </x:c>
      <x:c r="T70" s="4" t="n">
        <x:v>1</x:v>
      </x:c>
    </x:row>
    <x:row r="71" ht="33.599998474121094" hidden="0" customHeight="1">
      <x:c r="A71" s="4" t="str">
        <x:v>A067</x:v>
      </x:c>
      <x:c r="B71" s="4" t="str">
        <x:v>PVWatts Version 5 Manual — NREL/TP-6A20-62641</x:v>
      </x:c>
      <x:c r="C71" s="4" t="str">
        <x:v>Aron P. Dobos</x:v>
      </x:c>
      <x:c r="D71" s="11" t="n">
        <x:v>2014</x:v>
      </x:c>
      <x:c r="E71" s="10" t="str">
        <x:v>3; 4</x:v>
      </x:c>
      <x:c r="F71" s="4" t="str">
        <x:v>3.3; 3.5; 4.1</x:v>
      </x:c>
      <x:c r="G71" s="4" t="str">
        <x:v>Relatórios e manuais</x:v>
      </x:c>
      <x:c r="H71" s="4" t="str">
        <x:v>B10</x:v>
      </x:c>
      <x:c r="I71" s="4" t="str"/>
      <x:c r="J71" s="4" t="str">
        <x:v>PVWatts_v5_Dobos_2014.pdf</x:v>
      </x:c>
      <x:c r="K71" s="4" t="str">
        <x:v>https://drive.google.com/file/d/1pYaZedpaMEmJL_7374SpQv5GyK2BUBtb/view?usp=drivesdk</x:v>
      </x:c>
      <x:c r="L71" s="4" t="str"/>
      <x:c r="M71" s="4" t="str"/>
      <x:c r="N71" s="4" t="str">
        <x:v>https://drive.google.com/file/d/1ATm6277jw9kBI7Tl6FOruDMQvbzBCXTY/view?usp=drivesdk</x:v>
      </x:c>
      <x:c r="O71" s="4" t="str">
        <x:v>https://drive.google.com/file/d/1LuzHd4e-Jt04mj-_HE8BiRPkrlVinfJK/view?usp=drivesdk</x:v>
      </x:c>
      <x:c r="P71" s="4" t="str"/>
      <x:c r="Q71" s="4" t="n">
        <x:v>0</x:v>
      </x:c>
      <x:c r="R71" s="4" t="n">
        <x:v>0</x:v>
      </x:c>
      <x:c r="S71" s="4" t="n">
        <x:v>1</x:v>
      </x:c>
      <x:c r="T71" s="4" t="n">
        <x:v>1</x:v>
      </x:c>
    </x:row>
    <x:row r="72" ht="33.599998474121094" hidden="0" customHeight="1">
      <x:c r="A72" s="4" t="str">
        <x:v>A068</x:v>
      </x:c>
      <x:c r="B72" s="4" t="str">
        <x:v>TRIO-20.0/27.6-TL-US — Product Manual</x:v>
      </x:c>
      <x:c r="C72" s="4" t="str">
        <x:v>ABB</x:v>
      </x:c>
      <x:c r="D72" s="11"/>
      <x:c r="E72" s="10" t="str">
        <x:v>3</x:v>
      </x:c>
      <x:c r="F72" s="4" t="str">
        <x:v>3.5</x:v>
      </x:c>
      <x:c r="G72" s="4" t="str">
        <x:v>Relatórios e manuais</x:v>
      </x:c>
      <x:c r="H72" s="4" t="str">
        <x:v>B01</x:v>
      </x:c>
      <x:c r="I72" s="4" t="str"/>
      <x:c r="J72" s="4" t="str">
        <x:v>ABB_TRIO_20_27_US_Manual.pdf</x:v>
      </x:c>
      <x:c r="K72" s="4" t="str">
        <x:v>https://drive.google.com/file/d/1qRZk3iH_AEL1rRi_FBLILRHb_g3vc1eA/view?usp=drivesdk</x:v>
      </x:c>
      <x:c r="L72" s="4" t="str"/>
      <x:c r="M72" s="4" t="str"/>
      <x:c r="N72" s="4" t="str">
        <x:v>https://drive.google.com/file/d/1wZ672wUUn4pjxEQO_L4469NZvf4RO2Eq/view?usp=drivesdk</x:v>
      </x:c>
      <x:c r="O72" s="4" t="str"/>
      <x:c r="P72" s="4" t="str"/>
      <x:c r="Q72" s="4" t="n">
        <x:v>0</x:v>
      </x:c>
      <x:c r="R72" s="4" t="n">
        <x:v>0</x:v>
      </x:c>
      <x:c r="S72" s="4" t="n">
        <x:v>1</x:v>
      </x:c>
      <x:c r="T72" s="4" t="n">
        <x:v>0</x:v>
      </x:c>
    </x:row>
    <x:row r="73" ht="33.599998474121094" hidden="0" customHeight="1">
      <x:c r="A73" s="4" t="str">
        <x:v>A069</x:v>
      </x:c>
      <x:c r="B73" s="4" t="str">
        <x:v>The global energy balance as represented in CMIP6 climate models</x:v>
      </x:c>
      <x:c r="C73" s="4" t="str">
        <x:v>Martin Wild</x:v>
      </x:c>
      <x:c r="D73" s="11" t="n">
        <x:v>2020</x:v>
      </x:c>
      <x:c r="E73" s="10" t="str">
        <x:v>1</x:v>
      </x:c>
      <x:c r="F73" s="4" t="str">
        <x:v>1.3</x:v>
      </x:c>
      <x:c r="G73" s="4" t="str">
        <x:v>Artigos</x:v>
      </x:c>
      <x:c r="H73" s="4" t="str"/>
      <x:c r="I73" s="4" t="str">
        <x:v>10.1007/s00382-020-05282-7</x:v>
      </x:c>
      <x:c r="J73" s="4" t="str">
        <x:v>Wild_2020.pdf</x:v>
      </x:c>
      <x:c r="K73" s="4" t="str">
        <x:v>https://drive.google.com/file/d/18ZNYwpftaYFtSqktcCyu3NJ6jLd_m4IK/view?usp=drivesdk</x:v>
      </x:c>
      <x:c r="L73" s="4" t="str">
        <x:v>https://drive.google.com/file/d/1Dt3Q1NKxFdzR_bbp8CV_Ci_NRMXuv9fI/view?usp=drivesdk</x:v>
      </x:c>
      <x:c r="M73" s="4" t="str"/>
      <x:c r="N73" s="4" t="str"/>
      <x:c r="O73" s="4" t="str"/>
      <x:c r="P73" s="4" t="str">
        <x:v>Complemento sobre modulação radiativa e balanço global; não é fonte de validação elétrica.</x:v>
      </x:c>
      <x:c r="Q73" s="4" t="n">
        <x:v>1</x:v>
      </x:c>
      <x:c r="R73" s="4" t="n">
        <x:v>0</x:v>
      </x:c>
      <x:c r="S73" s="4" t="n">
        <x:v>0</x:v>
      </x:c>
      <x:c r="T73" s="4" t="n">
        <x:v>0</x:v>
      </x:c>
    </x:row>
    <x:row r="74" ht="33.599998474121094" hidden="0" customHeight="1">
      <x:c r="A74" s="4" t="str">
        <x:v>A070</x:v>
      </x:c>
      <x:c r="B74" s="4" t="str">
        <x:v>Remote sensing of earth’s energy budget: synthesis and review</x:v>
      </x:c>
      <x:c r="C74" s="4" t="str">
        <x:v>Liang; Wang; He; Yu</x:v>
      </x:c>
      <x:c r="D74" s="11" t="n">
        <x:v>2019</x:v>
      </x:c>
      <x:c r="E74" s="10" t="str">
        <x:v>1</x:v>
      </x:c>
      <x:c r="F74" s="4" t="str">
        <x:v>1.3; 1.4</x:v>
      </x:c>
      <x:c r="G74" s="4" t="str">
        <x:v>Artigos</x:v>
      </x:c>
      <x:c r="H74" s="4" t="str"/>
      <x:c r="I74" s="4" t="str">
        <x:v>10.1080/17538947.2019.1597189</x:v>
      </x:c>
      <x:c r="J74" s="4" t="str">
        <x:v>liang2019.pdf</x:v>
      </x:c>
      <x:c r="K74" s="4" t="str">
        <x:v>https://drive.google.com/file/d/1T-56JLgqSQCiaZ2XXuC8Jbt8BTjmn0pg/view?usp=drivesdk</x:v>
      </x:c>
      <x:c r="L74" s="4" t="str">
        <x:v>https://drive.google.com/file/d/1BX_4PNZjmyIC-wQoBbZ-lRLKloGvcRa8/view?usp=drivesdk</x:v>
      </x:c>
      <x:c r="M74" s="4" t="str"/>
      <x:c r="N74" s="4" t="str"/>
      <x:c r="O74" s="4" t="str"/>
      <x:c r="P74" s="4" t="str"/>
      <x:c r="Q74" s="4" t="n">
        <x:v>1</x:v>
      </x:c>
      <x:c r="R74" s="4" t="n">
        <x:v>0</x:v>
      </x:c>
      <x:c r="S74" s="4" t="n">
        <x:v>0</x:v>
      </x:c>
      <x:c r="T74" s="4" t="n">
        <x:v>0</x:v>
      </x:c>
    </x:row>
    <x:row r="75" ht="60" customHeight="1">
      <x:c r="A75" s="4" t="str">
        <x:v>A071</x:v>
      </x:c>
      <x:c r="B75" s="4" t="str">
        <x:v>Experimental investigation of the temperature distribution in a BIPV façade</x:v>
      </x:c>
      <x:c r="C75" s="4" t="str">
        <x:v>Andersen; Babin; Thorsteinsson</x:v>
      </x:c>
      <x:c r="D75" s="11" t="n">
        <x:v>2024</x:v>
      </x:c>
      <x:c r="E75" s="10" t="str">
        <x:v>4</x:v>
      </x:c>
      <x:c r="F75" s="4" t="str">
        <x:v>4.5</x:v>
      </x:c>
      <x:c r="G75" s="4" t="str">
        <x:v>Artigos</x:v>
      </x:c>
      <x:c r="H75" s="4" t="str">
        <x:v>B02</x:v>
      </x:c>
      <x:c r="I75" s="4" t="str">
        <x:v>10.1051/epjpv/2024032</x:v>
      </x:c>
      <x:c r="J75" s="4" t="str">
        <x:v>Experimental_investigation_of_the_temperature_dist.pdf</x:v>
      </x:c>
      <x:c r="K75" s="4" t="str">
        <x:v>https://drive.google.com/file/d/1WgMILi-7lR1OSrlZJKNkAtahiCsA4AYB/view?usp=drivesdk</x:v>
      </x:c>
      <x:c r="L75" s="4" t="str"/>
      <x:c r="M75" s="4" t="str"/>
      <x:c r="N75" s="4" t="str"/>
      <x:c r="O75" s="4" t="str">
        <x:v>https://drive.google.com/file/d/1haKsY0NO2A4YJwVo9L-TZLSYX-tkGsCZ/view?usp=drivesdk</x:v>
      </x:c>
      <x:c r="P75" s="4" t="str">
        <x:v>Versão publicada; 11 páginas.</x:v>
      </x:c>
      <x:c r="Q75" s="4" t="n">
        <x:v>0</x:v>
      </x:c>
      <x:c r="R75" s="4" t="n">
        <x:v>0</x:v>
      </x:c>
      <x:c r="S75" s="4" t="n">
        <x:v>0</x:v>
      </x:c>
      <x:c r="T75" s="4" t="n">
        <x:v>1</x:v>
      </x:c>
    </x:row>
    <x:row r="76" ht="60" customHeight="1">
      <x:c r="A76" s="4" t="str">
        <x:v>A072</x:v>
      </x:c>
      <x:c r="B76" s="4" t="str">
        <x:v>The effect of spectral albedo on amorphous silicon and crystalline silicon solar photovoltaic device performance</x:v>
      </x:c>
      <x:c r="C76" s="4" t="str">
        <x:v>Andrews; Pearce</x:v>
      </x:c>
      <x:c r="D76" s="11" t="n">
        <x:v>2013</x:v>
      </x:c>
      <x:c r="E76" s="10" t="str">
        <x:v>2</x:v>
      </x:c>
      <x:c r="F76" s="4" t="str">
        <x:v>2.2</x:v>
      </x:c>
      <x:c r="G76" s="4" t="str">
        <x:v>Artigos</x:v>
      </x:c>
      <x:c r="H76" s="4" t="str">
        <x:v>B03</x:v>
      </x:c>
      <x:c r="I76" s="4" t="str">
        <x:v>10.1016/j.solener.2013.01.030</x:v>
      </x:c>
      <x:c r="J76" s="4" t="str">
        <x:v>The_Effect_of_Spectral_Albedo_on_Amorphous_Silicon.pdf</x:v>
      </x:c>
      <x:c r="K76" s="4" t="str">
        <x:v>https://drive.google.com/file/d/1rRLaZP4X0TCGIyRYO8cwLyLVrF1w2acA/view?usp=drivesdk</x:v>
      </x:c>
      <x:c r="L76" s="4" t="str"/>
      <x:c r="M76" s="4" t="str">
        <x:v>https://drive.google.com/file/d/1NkS35bxY9Yolo1t7sIg9dYe3CXvtTieM/view?usp=drivesdk</x:v>
      </x:c>
      <x:c r="N76" s="4" t="str"/>
      <x:c r="O76" s="4" t="str"/>
      <x:c r="P76" s="4" t="str">
        <x:v>Manuscrito de autor completo; título, autoria, DOI e 9 páginas conferidos.</x:v>
      </x:c>
      <x:c r="Q76" s="4" t="n">
        <x:v>0</x:v>
      </x:c>
      <x:c r="R76" s="4" t="n">
        <x:v>1</x:v>
      </x:c>
      <x:c r="S76" s="4" t="n">
        <x:v>0</x:v>
      </x:c>
      <x:c r="T76" s="4" t="n">
        <x:v>0</x:v>
      </x:c>
    </x:row>
    <x:row r="77" ht="60" customHeight="1">
      <x:c r="A77" s="4" t="str">
        <x:v>A073</x:v>
      </x:c>
      <x:c r="B77" s="4" t="str">
        <x:v>Computer simulation of the effects of electrical mismatches in photovoltaic cell interconnection circuits</x:v>
      </x:c>
      <x:c r="C77" s="4" t="str">
        <x:v>Bishop</x:v>
      </x:c>
      <x:c r="D77" s="11" t="n">
        <x:v>1988</x:v>
      </x:c>
      <x:c r="E77" s="10" t="str">
        <x:v>2; 3</x:v>
      </x:c>
      <x:c r="F77" s="4" t="str">
        <x:v>2.3; 3.4</x:v>
      </x:c>
      <x:c r="G77" s="4" t="str">
        <x:v>Artigos</x:v>
      </x:c>
      <x:c r="H77" s="4" t="str">
        <x:v>B04</x:v>
      </x:c>
      <x:c r="I77" s="4" t="str">
        <x:v>10.1016/0379-6787(88)90059-2</x:v>
      </x:c>
      <x:c r="J77" s="4" t="str">
        <x:v>bishop1988.pdf</x:v>
      </x:c>
      <x:c r="K77" s="4" t="str">
        <x:v>https://drive.google.com/file/d/1zlOZGfwbFXATb3kGodS3GZOX3NZcaQVp/view?usp=drivesdk</x:v>
      </x:c>
      <x:c r="L77" s="4" t="str"/>
      <x:c r="M77" s="4" t="str">
        <x:v>https://drive.google.com/file/d/1naylazsLo6-XnxIAo2WGf7BB22ATIava/view?usp=drivesdk</x:v>
      </x:c>
      <x:c r="N77" s="4" t="str">
        <x:v>https://drive.google.com/file/d/1AfLqqaxYDtY7VilwXMkQq7h5vV__i-dk/view?usp=drivesdk</x:v>
      </x:c>
      <x:c r="O77" s="4" t="str"/>
      <x:c r="P77" s="4" t="str">
        <x:v>Artigo completo; páginas 73–89.</x:v>
      </x:c>
      <x:c r="Q77" s="4" t="n">
        <x:v>0</x:v>
      </x:c>
      <x:c r="R77" s="4" t="n">
        <x:v>1</x:v>
      </x:c>
      <x:c r="S77" s="4" t="n">
        <x:v>1</x:v>
      </x:c>
      <x:c r="T77" s="4" t="n">
        <x:v>0</x:v>
      </x:c>
    </x:row>
    <x:row r="78" ht="60" customHeight="1">
      <x:c r="A78" s="4" t="str">
        <x:v>A074</x:v>
      </x:c>
      <x:c r="B78" s="4" t="str">
        <x:v>A key review of building integrated photovoltaic (BIPV) systems</x:v>
      </x:c>
      <x:c r="C78" s="4" t="str">
        <x:v>Biyik et al.</x:v>
      </x:c>
      <x:c r="D78" s="11" t="n">
        <x:v>2017</x:v>
      </x:c>
      <x:c r="E78" s="10" t="str">
        <x:v>4</x:v>
      </x:c>
      <x:c r="F78" s="4" t="str">
        <x:v>4.5</x:v>
      </x:c>
      <x:c r="G78" s="4" t="str">
        <x:v>Artigos</x:v>
      </x:c>
      <x:c r="H78" s="4" t="str">
        <x:v>B05</x:v>
      </x:c>
      <x:c r="I78" s="4" t="str">
        <x:v>10.1016/j.jestch.2017.01.009</x:v>
      </x:c>
      <x:c r="J78" s="4" t="str">
        <x:v>biyik2017.pdf</x:v>
      </x:c>
      <x:c r="K78" s="4" t="str">
        <x:v>https://drive.google.com/file/d/1YSb8zUm7byXcOeN3irYZ3BRxomz05MwD/view?usp=drivesdk</x:v>
      </x:c>
      <x:c r="L78" s="4" t="str"/>
      <x:c r="M78" s="4" t="str"/>
      <x:c r="N78" s="4" t="str"/>
      <x:c r="O78" s="4" t="str">
        <x:v>https://drive.google.com/file/d/19_7zGwhQGzAqGoasrKZx4YHQ9tTYIlP3/view?usp=drivesdk</x:v>
      </x:c>
      <x:c r="P78" s="4" t="str">
        <x:v>Versão completa em article in press; 21 páginas, DOI idêntico ao da versão final. A paginação final da referência é 833–858.</x:v>
      </x:c>
      <x:c r="Q78" s="4" t="n">
        <x:v>0</x:v>
      </x:c>
      <x:c r="R78" s="4" t="n">
        <x:v>0</x:v>
      </x:c>
      <x:c r="S78" s="4" t="n">
        <x:v>0</x:v>
      </x:c>
      <x:c r="T78" s="4" t="n">
        <x:v>1</x:v>
      </x:c>
    </x:row>
    <x:row r="79" ht="60" customHeight="1">
      <x:c r="A79" s="4" t="str">
        <x:v>A075</x:v>
      </x:c>
      <x:c r="B79" s="4" t="str">
        <x:v>Root mean square error (RMSE) or mean absolute error (MAE)? Arguments against avoiding RMSE in the literature</x:v>
      </x:c>
      <x:c r="C79" s="4" t="str">
        <x:v>Chai; Draxler</x:v>
      </x:c>
      <x:c r="D79" s="11" t="n">
        <x:v>2014</x:v>
      </x:c>
      <x:c r="E79" s="10" t="str">
        <x:v>4</x:v>
      </x:c>
      <x:c r="F79" s="4" t="str">
        <x:v>4.4</x:v>
      </x:c>
      <x:c r="G79" s="4" t="str">
        <x:v>Artigos</x:v>
      </x:c>
      <x:c r="H79" s="4" t="str">
        <x:v>B07</x:v>
      </x:c>
      <x:c r="I79" s="4" t="str">
        <x:v>10.5194/gmd-7-1247-2014</x:v>
      </x:c>
      <x:c r="J79" s="4" t="str">
        <x:v>chai2014.pdf</x:v>
      </x:c>
      <x:c r="K79" s="4" t="str">
        <x:v>https://drive.google.com/file/d/1nnFqb--1gb38l0Cphyib3-Hm7smjQk51/view?usp=drivesdk</x:v>
      </x:c>
      <x:c r="L79" s="4" t="str"/>
      <x:c r="M79" s="4" t="str"/>
      <x:c r="N79" s="4" t="str"/>
      <x:c r="O79" s="4" t="str">
        <x:v>https://drive.google.com/file/d/1sa701Mfu5c9f0dEdcvRChFAhaUbMA0YC/view?usp=drivesdk</x:v>
      </x:c>
      <x:c r="P79" s="4" t="str">
        <x:v>Versão publicada; páginas 1247–1250.</x:v>
      </x:c>
      <x:c r="Q79" s="4" t="n">
        <x:v>0</x:v>
      </x:c>
      <x:c r="R79" s="4" t="n">
        <x:v>0</x:v>
      </x:c>
      <x:c r="S79" s="4" t="n">
        <x:v>0</x:v>
      </x:c>
      <x:c r="T79" s="4" t="n">
        <x:v>1</x:v>
      </x:c>
    </x:row>
    <x:row r="80" ht="60" customHeight="1">
      <x:c r="A80" s="4" t="str">
        <x:v>A076</x:v>
      </x:c>
      <x:c r="B80" s="4" t="str">
        <x:v>Improvement and validation of a model for photovoltaic array performance</x:v>
      </x:c>
      <x:c r="C80" s="4" t="str">
        <x:v>De Soto; Klein; Beckman</x:v>
      </x:c>
      <x:c r="D80" s="11" t="n">
        <x:v>2006</x:v>
      </x:c>
      <x:c r="E80" s="10" t="str">
        <x:v>3; 4</x:v>
      </x:c>
      <x:c r="F80" s="4" t="str">
        <x:v>3.3; 3.4; 4.1</x:v>
      </x:c>
      <x:c r="G80" s="4" t="str">
        <x:v>Artigos</x:v>
      </x:c>
      <x:c r="H80" s="4" t="str">
        <x:v>B08</x:v>
      </x:c>
      <x:c r="I80" s="4" t="str">
        <x:v>10.1016/j.solener.2005.06.010</x:v>
      </x:c>
      <x:c r="J80" s="4" t="str">
        <x:v>desoto2006.pdf</x:v>
      </x:c>
      <x:c r="K80" s="4" t="str">
        <x:v>https://drive.google.com/file/d/1p-X5uvK15exFuF4fg8T8HQgHatIhctad/view?usp=drivesdk</x:v>
      </x:c>
      <x:c r="L80" s="4" t="str"/>
      <x:c r="M80" s="4" t="str"/>
      <x:c r="N80" s="4" t="str">
        <x:v>https://drive.google.com/file/d/14zVR8JRkL9ixP6pmdyhsCWg58ymL3M6v/view?usp=drivesdk</x:v>
      </x:c>
      <x:c r="O80" s="4" t="str">
        <x:v>https://drive.google.com/file/d/11uLB367LCgcNbaES__OeZtdQ21OFqn8h/view?usp=drivesdk</x:v>
      </x:c>
      <x:c r="P80" s="4" t="str">
        <x:v>Versão publicada; páginas 78–88.</x:v>
      </x:c>
      <x:c r="Q80" s="4" t="n">
        <x:v>0</x:v>
      </x:c>
      <x:c r="R80" s="4" t="n">
        <x:v>0</x:v>
      </x:c>
      <x:c r="S80" s="4" t="n">
        <x:v>1</x:v>
      </x:c>
      <x:c r="T80" s="4" t="n">
        <x:v>1</x:v>
      </x:c>
    </x:row>
    <x:row r="81" ht="60" customHeight="1">
      <x:c r="A81" s="4" t="str">
        <x:v>A077</x:v>
      </x:c>
      <x:c r="B81" s="4" t="str">
        <x:v>World estimates of PV optimal tilt angles and ratios of sunlight incident upon tilted and tracked PV panels relative to horizontal panels</x:v>
      </x:c>
      <x:c r="C81" s="4" t="str">
        <x:v>Jacobson; Jadhav</x:v>
      </x:c>
      <x:c r="D81" s="11" t="n">
        <x:v>2018</x:v>
      </x:c>
      <x:c r="E81" s="10" t="str">
        <x:v>2</x:v>
      </x:c>
      <x:c r="F81" s="4" t="str">
        <x:v>2.4</x:v>
      </x:c>
      <x:c r="G81" s="4" t="str">
        <x:v>Artigos</x:v>
      </x:c>
      <x:c r="H81" s="4" t="str">
        <x:v>B15</x:v>
      </x:c>
      <x:c r="I81" s="4" t="str">
        <x:v>10.1016/j.solener.2018.04.030</x:v>
      </x:c>
      <x:c r="J81" s="4" t="str">
        <x:v>jacobson2018.pdf</x:v>
      </x:c>
      <x:c r="K81" s="4" t="str">
        <x:v>https://drive.google.com/file/d/1NeQuH3p5G8rwgS-Sw-6d5YeFRV4igamc/view?usp=drivesdk</x:v>
      </x:c>
      <x:c r="L81" s="4" t="str"/>
      <x:c r="M81" s="4" t="str">
        <x:v>https://drive.google.com/file/d/1zCaoOVTMtTmiJd0klVpiMZVWaqIaBdJl/view?usp=drivesdk</x:v>
      </x:c>
      <x:c r="N81" s="4" t="str"/>
      <x:c r="O81" s="4" t="str"/>
      <x:c r="P81" s="4" t="str">
        <x:v>Versão publicada; páginas 55–66.</x:v>
      </x:c>
      <x:c r="Q81" s="4" t="n">
        <x:v>0</x:v>
      </x:c>
      <x:c r="R81" s="4" t="n">
        <x:v>1</x:v>
      </x:c>
      <x:c r="S81" s="4" t="n">
        <x:v>0</x:v>
      </x:c>
      <x:c r="T81" s="4" t="n">
        <x:v>0</x:v>
      </x:c>
    </x:row>
    <x:row r="82" ht="60" customHeight="1">
      <x:c r="A82" s="4" t="str">
        <x:v>A078</x:v>
      </x:c>
      <x:c r="B82" s="4" t="str">
        <x:v>Building integrated photovoltaic products: A state-of-the-art review and future research opportunities</x:v>
      </x:c>
      <x:c r="C82" s="4" t="str">
        <x:v>Jelle; Breivik; Røkenes</x:v>
      </x:c>
      <x:c r="D82" s="11" t="n">
        <x:v>2012</x:v>
      </x:c>
      <x:c r="E82" s="10" t="str">
        <x:v>4</x:v>
      </x:c>
      <x:c r="F82" s="4" t="str">
        <x:v>4.5</x:v>
      </x:c>
      <x:c r="G82" s="4" t="str">
        <x:v>Artigos</x:v>
      </x:c>
      <x:c r="H82" s="4" t="str">
        <x:v>B16</x:v>
      </x:c>
      <x:c r="I82" s="4" t="str">
        <x:v>10.1016/j.solmat.2011.12.016</x:v>
      </x:c>
      <x:c r="J82" s="4" t="str">
        <x:v>petterjelle2012.pdf</x:v>
      </x:c>
      <x:c r="K82" s="4" t="str">
        <x:v>https://drive.google.com/file/d/15dq7T0441OAVG2jN4iSdw8yB--6yESix/view?usp=drivesdk</x:v>
      </x:c>
      <x:c r="L82" s="4" t="str"/>
      <x:c r="M82" s="4" t="str"/>
      <x:c r="N82" s="4" t="str"/>
      <x:c r="O82" s="4" t="str">
        <x:v>https://drive.google.com/file/d/1RCCSrKPfRIHu4k2PqKeiEe9AtkJPY0gK/view?usp=drivesdk</x:v>
      </x:c>
      <x:c r="P82" s="4" t="str">
        <x:v>Versão publicada; páginas 69–96.</x:v>
      </x:c>
      <x:c r="Q82" s="4" t="n">
        <x:v>0</x:v>
      </x:c>
      <x:c r="R82" s="4" t="n">
        <x:v>0</x:v>
      </x:c>
      <x:c r="S82" s="4" t="n">
        <x:v>0</x:v>
      </x:c>
      <x:c r="T82" s="4" t="n">
        <x:v>1</x:v>
      </x:c>
    </x:row>
    <x:row r="83" ht="60" customHeight="1">
      <x:c r="A83" s="4" t="str">
        <x:v>A079</x:v>
      </x:c>
      <x:c r="B83" s="4" t="str">
        <x:v>Photovoltaic degradation rates: an analytical review</x:v>
      </x:c>
      <x:c r="C83" s="4" t="str">
        <x:v>Jordan; Kurtz</x:v>
      </x:c>
      <x:c r="D83" s="11" t="n">
        <x:v>2013</x:v>
      </x:c>
      <x:c r="E83" s="10" t="str">
        <x:v>4</x:v>
      </x:c>
      <x:c r="F83" s="4" t="str">
        <x:v>4.1</x:v>
      </x:c>
      <x:c r="G83" s="4" t="str">
        <x:v>Artigos</x:v>
      </x:c>
      <x:c r="H83" s="4" t="str">
        <x:v>B17</x:v>
      </x:c>
      <x:c r="I83" s="4" t="str">
        <x:v>10.1002/pip.1182</x:v>
      </x:c>
      <x:c r="J83" s="4" t="str">
        <x:v>jordan2011.pdf</x:v>
      </x:c>
      <x:c r="K83" s="4" t="str">
        <x:v>https://drive.google.com/file/d/1IwLVGfYj88JzXqbvHipqd7YA2BqSc12Z/view?usp=drivesdk</x:v>
      </x:c>
      <x:c r="L83" s="4" t="str"/>
      <x:c r="M83" s="4" t="str"/>
      <x:c r="N83" s="4" t="str"/>
      <x:c r="O83" s="4" t="str">
        <x:v>https://drive.google.com/file/d/1l516rsEeUdlDEVSNYoThD0_WJeQbd22_/view?usp=drivesdk</x:v>
      </x:c>
      <x:c r="P83" s="4" t="str">
        <x:v>Nome recebido indica 2011 (publicação online); adotado 2013, ano do volume 21, páginas 12–29.</x:v>
      </x:c>
      <x:c r="Q83" s="4" t="n">
        <x:v>0</x:v>
      </x:c>
      <x:c r="R83" s="4" t="n">
        <x:v>0</x:v>
      </x:c>
      <x:c r="S83" s="4" t="n">
        <x:v>0</x:v>
      </x:c>
      <x:c r="T83" s="4" t="n">
        <x:v>1</x:v>
      </x:c>
    </x:row>
    <x:row r="84" ht="60" customHeight="1">
      <x:c r="A84" s="4" t="str">
        <x:v>A080</x:v>
      </x:c>
      <x:c r="B84" s="4" t="str">
        <x:v>Semi-transparent building integrated photovoltaic solar glazing: Investigations of electrical and optical performances for window applications in tropical region</x:v>
      </x:c>
      <x:c r="C84" s="4" t="str">
        <x:v>Joseph; Kichonge; Pogrebnaya</x:v>
      </x:c>
      <x:c r="D84" s="11" t="n">
        <x:v>2019</x:v>
      </x:c>
      <x:c r="E84" s="10" t="str">
        <x:v>4</x:v>
      </x:c>
      <x:c r="F84" s="4" t="str">
        <x:v>4.5</x:v>
      </x:c>
      <x:c r="G84" s="4" t="str">
        <x:v>Artigos</x:v>
      </x:c>
      <x:c r="H84" s="4" t="str">
        <x:v>B18</x:v>
      </x:c>
      <x:c r="I84" s="4" t="str">
        <x:v>10.1155/2019/6096481</x:v>
      </x:c>
      <x:c r="J84" s="4" t="str">
        <x:v>joseph2019.pdf</x:v>
      </x:c>
      <x:c r="K84" s="4" t="str">
        <x:v>https://drive.google.com/file/d/1sRUuDSYsVSsAAgf0kT0D_jf80Zgc3yOW/view?usp=drivesdk</x:v>
      </x:c>
      <x:c r="L84" s="4" t="str"/>
      <x:c r="M84" s="4" t="str"/>
      <x:c r="N84" s="4" t="str"/>
      <x:c r="O84" s="4" t="str">
        <x:v>https://drive.google.com/file/d/1F6au87oPtnyrllsdkI676tiGFqmNTvL3/view?usp=drivesdk</x:v>
      </x:c>
      <x:c r="P84" s="4" t="str">
        <x:v>Artigo completo de 10 páginas mais página promocional da editora (11 páginas no PDF).</x:v>
      </x:c>
      <x:c r="Q84" s="4" t="n">
        <x:v>0</x:v>
      </x:c>
      <x:c r="R84" s="4" t="n">
        <x:v>0</x:v>
      </x:c>
      <x:c r="S84" s="4" t="n">
        <x:v>0</x:v>
      </x:c>
      <x:c r="T84" s="4" t="n">
        <x:v>1</x:v>
      </x:c>
    </x:row>
    <x:row r="85" ht="60" customHeight="1">
      <x:c r="A85" s="4" t="str">
        <x:v>A081</x:v>
      </x:c>
      <x:c r="B85" s="4" t="str">
        <x:v>Impact of dust on solar photovoltaic (PV) performance: research status, challenges and recommendations</x:v>
      </x:c>
      <x:c r="C85" s="4" t="str">
        <x:v>Mani; Pillai</x:v>
      </x:c>
      <x:c r="D85" s="11" t="n">
        <x:v>2010</x:v>
      </x:c>
      <x:c r="E85" s="10" t="str">
        <x:v>2; 4</x:v>
      </x:c>
      <x:c r="F85" s="4" t="str">
        <x:v>2.3; 4.1</x:v>
      </x:c>
      <x:c r="G85" s="4" t="str">
        <x:v>Artigos</x:v>
      </x:c>
      <x:c r="H85" s="4" t="str">
        <x:v>B21</x:v>
      </x:c>
      <x:c r="I85" s="4" t="str">
        <x:v>10.1016/j.rser.2010.07.065</x:v>
      </x:c>
      <x:c r="J85" s="4" t="str">
        <x:v>mani2010.pdf</x:v>
      </x:c>
      <x:c r="K85" s="4" t="str">
        <x:v>https://drive.google.com/file/d/1wWS-19ok6vfukBYps7YPPaJwmPAiZrvH/view?usp=drivesdk</x:v>
      </x:c>
      <x:c r="L85" s="4" t="str"/>
      <x:c r="M85" s="4" t="str">
        <x:v>https://drive.google.com/file/d/1DDy6MPhAxwJqT25dWSO_LaSSCIM9Hbrc/view?usp=drivesdk</x:v>
      </x:c>
      <x:c r="N85" s="4" t="str"/>
      <x:c r="O85" s="4" t="str">
        <x:v>https://drive.google.com/file/d/18xqUN2BEwRl7YFaR5QxDtQ4qKdvKD5pO/view?usp=drivesdk</x:v>
      </x:c>
      <x:c r="P85" s="4" t="str">
        <x:v>Versão publicada; páginas 3124–3131.</x:v>
      </x:c>
      <x:c r="Q85" s="4" t="n">
        <x:v>0</x:v>
      </x:c>
      <x:c r="R85" s="4" t="n">
        <x:v>1</x:v>
      </x:c>
      <x:c r="S85" s="4" t="n">
        <x:v>0</x:v>
      </x:c>
      <x:c r="T85" s="4" t="n">
        <x:v>1</x:v>
      </x:c>
    </x:row>
    <x:row r="86" ht="60" customHeight="1">
      <x:c r="A86" s="4" t="str">
        <x:v>A082</x:v>
      </x:c>
      <x:c r="B86" s="4" t="str">
        <x:v>General Solar Position Calculations</x:v>
      </x:c>
      <x:c r="C86" s="4" t="str">
        <x:v>NOAA Global Monitoring Division</x:v>
      </x:c>
      <x:c r="D86" s="11"/>
      <x:c r="E86" s="10" t="str">
        <x:v>1</x:v>
      </x:c>
      <x:c r="F86" s="4" t="str">
        <x:v>1.1</x:v>
      </x:c>
      <x:c r="G86" s="4" t="str">
        <x:v>Relatórios e manuais</x:v>
      </x:c>
      <x:c r="H86" s="4" t="str">
        <x:v>B23</x:v>
      </x:c>
      <x:c r="I86" s="4" t="str"/>
      <x:c r="J86" s="4" t="str">
        <x:v>solareqns.pdf</x:v>
      </x:c>
      <x:c r="K86" s="4" t="str">
        <x:v>https://drive.google.com/file/d/1Q3jX3bGUIdplbnBcprCFGcuPH9xGX8Ok/view?usp=drivesdk</x:v>
      </x:c>
      <x:c r="L86" s="4" t="str">
        <x:v>https://drive.google.com/file/d/1L8p-uBexCRZ1N9b-JCVqyiaygdKQH7Ot/view?usp=drivesdk</x:v>
      </x:c>
      <x:c r="M86" s="4" t="str"/>
      <x:c r="N86" s="4" t="str"/>
      <x:c r="O86" s="4" t="str"/>
      <x:c r="P86" s="4" t="str">
        <x:v>Documento técnico completo de 2 páginas; sem data e sem DOI identificado. Não é norma.</x:v>
      </x:c>
      <x:c r="Q86" s="4" t="n">
        <x:v>1</x:v>
      </x:c>
      <x:c r="R86" s="4" t="n">
        <x:v>0</x:v>
      </x:c>
      <x:c r="S86" s="4" t="n">
        <x:v>0</x:v>
      </x:c>
      <x:c r="T86" s="4" t="n">
        <x:v>0</x:v>
      </x:c>
    </x:row>
    <x:row r="87" ht="60" customHeight="1">
      <x:c r="A87" s="4" t="str">
        <x:v>A083</x:v>
      </x:c>
      <x:c r="B87" s="4" t="str">
        <x:v>Modeling daylight availability and irradiance components from direct and global irradiance</x:v>
      </x:c>
      <x:c r="C87" s="4" t="str">
        <x:v>Perez; Ineichen; Seals; Michalsky; Stewart</x:v>
      </x:c>
      <x:c r="D87" s="11" t="n">
        <x:v>1990</x:v>
      </x:c>
      <x:c r="E87" s="10" t="str">
        <x:v>2; 3</x:v>
      </x:c>
      <x:c r="F87" s="4" t="str">
        <x:v>2.2; 3.1</x:v>
      </x:c>
      <x:c r="G87" s="4" t="str">
        <x:v>Artigos</x:v>
      </x:c>
      <x:c r="H87" s="4" t="str">
        <x:v>B25</x:v>
      </x:c>
      <x:c r="I87" s="4" t="str">
        <x:v>10.1016/0038-092x(90)90055-h</x:v>
      </x:c>
      <x:c r="J87" s="4" t="str">
        <x:v>perez1990.pdf</x:v>
      </x:c>
      <x:c r="K87" s="4" t="str">
        <x:v>https://drive.google.com/file/d/17tWinB8GQ2RcCGxQLCC4eDlLwI3XpVQ2/view?usp=drivesdk</x:v>
      </x:c>
      <x:c r="L87" s="4" t="str"/>
      <x:c r="M87" s="4" t="str">
        <x:v>https://drive.google.com/file/d/1xd-WUiyIaAO8bse1xZNRd8zi7z48McF_/view?usp=drivesdk</x:v>
      </x:c>
      <x:c r="N87" s="4" t="str">
        <x:v>https://drive.google.com/file/d/19SadGDWRqrqNinGBHN313kG-fmQDVMP4/view?usp=drivesdk</x:v>
      </x:c>
      <x:c r="O87" s="4" t="str"/>
      <x:c r="P87" s="4" t="str">
        <x:v>Versão publicada; páginas 271–289.</x:v>
      </x:c>
      <x:c r="Q87" s="4" t="n">
        <x:v>0</x:v>
      </x:c>
      <x:c r="R87" s="4" t="n">
        <x:v>1</x:v>
      </x:c>
      <x:c r="S87" s="4" t="n">
        <x:v>1</x:v>
      </x:c>
      <x:c r="T87" s="4" t="n">
        <x:v>0</x:v>
      </x:c>
    </x:row>
    <x:row r="88" ht="60" customHeight="1">
      <x:c r="A88" s="4" t="str">
        <x:v>A084</x:v>
      </x:c>
      <x:c r="B88" s="4" t="str">
        <x:v>Solar position algorithm for solar radiation applications</x:v>
      </x:c>
      <x:c r="C88" s="4" t="str">
        <x:v>Reda; Andreas</x:v>
      </x:c>
      <x:c r="D88" s="11" t="n">
        <x:v>2004</x:v>
      </x:c>
      <x:c r="E88" s="10" t="str">
        <x:v>1</x:v>
      </x:c>
      <x:c r="F88" s="4" t="str">
        <x:v>1.1</x:v>
      </x:c>
      <x:c r="G88" s="4" t="str">
        <x:v>Artigos</x:v>
      </x:c>
      <x:c r="H88" s="4" t="str">
        <x:v>B31</x:v>
      </x:c>
      <x:c r="I88" s="4" t="str">
        <x:v>10.1016/j.solener.2003.12.003</x:v>
      </x:c>
      <x:c r="J88" s="4" t="str">
        <x:v>reda2004.pdf</x:v>
      </x:c>
      <x:c r="K88" s="4" t="str">
        <x:v>https://drive.google.com/file/d/1bj9Te_rW91bZmJEuVLHN1YCjr3-Di3Va/view?usp=drivesdk</x:v>
      </x:c>
      <x:c r="L88" s="4" t="str">
        <x:v>https://drive.google.com/file/d/1Al8R_ZriNBDixLTfsBcDVRxxAm38sPto/view?usp=drivesdk</x:v>
      </x:c>
      <x:c r="M88" s="4" t="str"/>
      <x:c r="N88" s="4" t="str"/>
      <x:c r="O88" s="4" t="str"/>
      <x:c r="P88" s="4" t="str">
        <x:v>Artigo de 2004, páginas 577–589; distinto do relatório revisado em 2008 já presente como A065/B32.</x:v>
      </x:c>
      <x:c r="Q88" s="4" t="n">
        <x:v>1</x:v>
      </x:c>
      <x:c r="R88" s="4" t="n">
        <x:v>0</x:v>
      </x:c>
      <x:c r="S88" s="4" t="n">
        <x:v>0</x:v>
      </x:c>
      <x:c r="T88" s="4" t="n">
        <x:v>0</x:v>
      </x:c>
    </x:row>
    <x:row r="89" ht="60" customHeight="1">
      <x:c r="A89" s="4" t="str">
        <x:v>A085</x:v>
      </x:c>
      <x:c r="B89" s="4" t="str">
        <x:v>Comprehensive approach to modeling and simulation of photovoltaic arrays</x:v>
      </x:c>
      <x:c r="C89" s="4" t="str">
        <x:v>Villalva; Gazoli; Ruppert Filho</x:v>
      </x:c>
      <x:c r="D89" s="11" t="n">
        <x:v>2009</x:v>
      </x:c>
      <x:c r="E89" s="10" t="str">
        <x:v>3</x:v>
      </x:c>
      <x:c r="F89" s="4" t="str">
        <x:v>3.3; 3.4</x:v>
      </x:c>
      <x:c r="G89" s="4" t="str">
        <x:v>Artigos</x:v>
      </x:c>
      <x:c r="H89" s="4" t="str">
        <x:v>B38</x:v>
      </x:c>
      <x:c r="I89" s="4" t="str">
        <x:v>10.1109/tpel.2009.2013862</x:v>
      </x:c>
      <x:c r="J89" s="4" t="str">
        <x:v>villalva2009.pdf</x:v>
      </x:c>
      <x:c r="K89" s="4" t="str">
        <x:v>https://drive.google.com/file/d/11hd1Zx5xYWiNsDI-g2R2jfHdrwvw2D9r/view?usp=drivesdk</x:v>
      </x:c>
      <x:c r="L89" s="4" t="str"/>
      <x:c r="M89" s="4" t="str"/>
      <x:c r="N89" s="4" t="str">
        <x:v>https://drive.google.com/file/d/1Ct3ezT5aQQ0gVbWTB2zBDGn2VEg0hZ4b/view?usp=drivesdk</x:v>
      </x:c>
      <x:c r="O89" s="4" t="str"/>
      <x:c r="P89" s="4" t="str">
        <x:v>Versão publicada; páginas 1198–1208. Sobrenome do terceiro autor corrigido para RUPPERT FILHO.</x:v>
      </x:c>
      <x:c r="Q89" s="4" t="n">
        <x:v>0</x:v>
      </x:c>
      <x:c r="R89" s="4" t="n">
        <x:v>0</x:v>
      </x:c>
      <x:c r="S89" s="4" t="n">
        <x:v>1</x:v>
      </x:c>
      <x:c r="T89" s="4" t="n">
        <x:v>0</x:v>
      </x:c>
    </x:row>
    <x:row r="90" ht="60" customHeight="1">
      <x:c r="A90" s="4" t="str">
        <x:v>A086</x:v>
      </x:c>
      <x:c r="B90" s="4" t="str">
        <x:v>Performance model for grid-connected photovoltaic inverters</x:v>
      </x:c>
      <x:c r="C90" s="4" t="str">
        <x:v>King; Gonzalez; Galbraith; Boyson</x:v>
      </x:c>
      <x:c r="D90" s="11" t="n">
        <x:v>2007</x:v>
      </x:c>
      <x:c r="E90" s="10" t="str">
        <x:v>3</x:v>
      </x:c>
      <x:c r="F90" s="4" t="str">
        <x:v>3.5</x:v>
      </x:c>
      <x:c r="G90" s="4" t="str">
        <x:v>Relatórios e manuais</x:v>
      </x:c>
      <x:c r="H90" s="4" t="str">
        <x:v>B06</x:v>
      </x:c>
      <x:c r="I90" s="4" t="str">
        <x:v>10.2172/920449</x:v>
      </x:c>
      <x:c r="J90" s="4" t="str">
        <x:v>A086_King_2007_Grid_Connected_PV_Inverters_SAND2007_5036.pdf</x:v>
      </x:c>
      <x:c r="K90" s="4" t="str">
        <x:v>https://www.osti.gov/servlets/purl/920449</x:v>
      </x:c>
      <x:c r="L90" s="4" t="str"/>
      <x:c r="M90" s="4" t="str"/>
      <x:c r="N90" s="4" t="str">
        <x:v>https://drive.google.com/file/d/1jB5u6-hVizTlQj0xKA0PKYAP1Oll6eOf/view?usp=drivesdk</x:v>
      </x:c>
      <x:c r="O90" s="4" t="str"/>
      <x:c r="P90" s="4" t="str">
        <x:v>Relatório oficial completo, 47 páginas. Autoria corrigida conforme a capa: King, Gonzalez, Galbraith e Boyson.</x:v>
      </x:c>
      <x:c r="Q90" s="4" t="n">
        <x:v>0</x:v>
      </x:c>
      <x:c r="R90" s="4" t="n">
        <x:v>0</x:v>
      </x:c>
      <x:c r="S90" s="4" t="n">
        <x:v>1</x:v>
      </x:c>
      <x:c r="T90" s="4" t="n">
        <x:v>0</x:v>
      </x:c>
    </x:row>
    <x:row r="91" ht="60" customHeight="1">
      <x:c r="A91" s="4" t="str">
        <x:v>A087</x:v>
      </x:c>
      <x:c r="B91" s="4" t="str">
        <x:v>Weather-corrected performance ratio</x:v>
      </x:c>
      <x:c r="C91" s="4" t="str">
        <x:v>Dierauf et al.</x:v>
      </x:c>
      <x:c r="D91" s="11" t="n">
        <x:v>2013</x:v>
      </x:c>
      <x:c r="E91" s="10" t="str">
        <x:v>4</x:v>
      </x:c>
      <x:c r="F91" s="4" t="str">
        <x:v>4.3</x:v>
      </x:c>
      <x:c r="G91" s="4" t="str">
        <x:v>Relatórios e manuais</x:v>
      </x:c>
      <x:c r="H91" s="4" t="str">
        <x:v>B09</x:v>
      </x:c>
      <x:c r="I91" s="4" t="str">
        <x:v>10.2172/1078057</x:v>
      </x:c>
      <x:c r="J91" s="4" t="str">
        <x:v>A087_Dierauf_2013_Weather_Corrected_Performance_Ratio.pdf</x:v>
      </x:c>
      <x:c r="K91" s="4" t="str">
        <x:v>https://www.osti.gov/servlets/purl/1078057</x:v>
      </x:c>
      <x:c r="L91" s="4" t="str"/>
      <x:c r="M91" s="4" t="str"/>
      <x:c r="N91" s="4" t="str"/>
      <x:c r="O91" s="4" t="str">
        <x:v>https://drive.google.com/file/d/1k9dUnVE863CbNtEv7AZMnPnnh8Sk-9Wk/view?usp=drivesdk</x:v>
      </x:c>
      <x:c r="P91" s="4" t="str">
        <x:v>Relatório oficial completo, 22 páginas no arquivo (16 páginas numeradas de texto mais elementos iniciais).</x:v>
      </x:c>
      <x:c r="Q91" s="4" t="n">
        <x:v>0</x:v>
      </x:c>
      <x:c r="R91" s="4" t="n">
        <x:v>0</x:v>
      </x:c>
      <x:c r="S91" s="4" t="n">
        <x:v>0</x:v>
      </x:c>
      <x:c r="T91" s="4" t="n">
        <x:v>1</x:v>
      </x:c>
    </x:row>
    <x:row r="92" ht="60" customHeight="1">
      <x:c r="A92" s="4" t="str">
        <x:v>A088</x:v>
      </x:c>
      <x:c r="B92" s="4" t="str">
        <x:v>Best practices handbook for the collection and use of solar resource data for solar energy applications: third edition (formato IEA PVPS)</x:v>
      </x:c>
      <x:c r="C92" s="4" t="str">
        <x:v>Sengupta et al. (ed.)</x:v>
      </x:c>
      <x:c r="D92" s="11" t="n">
        <x:v>2021</x:v>
      </x:c>
      <x:c r="E92" s="10" t="str">
        <x:v>1; 3</x:v>
      </x:c>
      <x:c r="F92" s="4" t="str">
        <x:v>1.2; 1.3; 1.4; 3.1</x:v>
      </x:c>
      <x:c r="G92" s="4" t="str">
        <x:v>Relatórios e manuais</x:v>
      </x:c>
      <x:c r="H92" s="4" t="str">
        <x:v>B36</x:v>
      </x:c>
      <x:c r="I92" s="4" t="str"/>
      <x:c r="J92" s="4" t="str">
        <x:v>A088_Sengupta_2021_Solar_Resource_Handbook_3ed_IEA_PVPS.pdf</x:v>
      </x:c>
      <x:c r="K92" s="4" t="str">
        <x:v>https://iea-pvps.org/wp-content/uploads/2021/06/IEA_PVPS_T16_Solar_Res_Handbook_2021-080621.pdf</x:v>
      </x:c>
      <x:c r="L92" s="4" t="str">
        <x:v>https://drive.google.com/file/d/1dty_mkSk-clgscx1BxxMdMcliI42ewjd/view?usp=drivesdk</x:v>
      </x:c>
      <x:c r="M92" s="4" t="str"/>
      <x:c r="N92" s="4" t="str">
        <x:v>https://drive.google.com/file/d/1Klhv2NtV1dpdhSXEbKVgK11vHAywCQAL/view?usp=drivesdk</x:v>
      </x:c>
      <x:c r="O92" s="4" t="str"/>
      <x:c r="P92" s="4" t="str">
        <x:v>Terceira edição obtida no formato IEA-PVPS T16-04:2021, 331 páginas, ISBN 978-3-907281-19-2. A página oficial informa dois formatos da mesma edição (NREL e IEA PVPS). O DOI 10.2172/1778700 identifica o formato NREL, não este arquivo IEA PVPS. Citar o formato efetivamente consultado; a 4ª edição de 2024 A045 permanece disponível.</x:v>
      </x:c>
      <x:c r="Q92" s="4" t="n">
        <x:v>1</x:v>
      </x:c>
      <x:c r="R92" s="4" t="n">
        <x:v>0</x:v>
      </x:c>
      <x:c r="S92" s="4" t="n">
        <x:v>1</x:v>
      </x:c>
      <x:c r="T92" s="4" t="n">
        <x:v>0</x:v>
      </x:c>
    </x:row>
    <x:row r="93" ht="60" customHeight="1">
      <x:c r="A93" s="4" t="str">
        <x:v>A089</x:v>
      </x:c>
      <x:c r="B93" s="4" t="str">
        <x:v>A continuous form of the Perez diffuse sky model for forward and reverse transposition</x:v>
      </x:c>
      <x:c r="C93" s="4" t="str">
        <x:v>Driesse; Jensen; Perez</x:v>
      </x:c>
      <x:c r="D93" s="11" t="n">
        <x:v>2024</x:v>
      </x:c>
      <x:c r="E93" s="10" t="str">
        <x:v>1; 2; 3; 4</x:v>
      </x:c>
      <x:c r="F93" s="4" t="str">
        <x:v>1.2; 2.2; 3.1; 4.5</x:v>
      </x:c>
      <x:c r="G93" s="4" t="str">
        <x:v>Artigos</x:v>
      </x:c>
      <x:c r="H93" s="4" t="str">
        <x:v>B11</x:v>
      </x:c>
      <x:c r="I93" s="4" t="str">
        <x:v>10.1016/j.solener.2023.112093</x:v>
      </x:c>
      <x:c r="J93" s="4" t="str">
        <x:v>1-s2.0-S0038092X23007272-main.pdf</x:v>
      </x:c>
      <x:c r="K93" s="4" t="str">
        <x:v>https://drive.google.com/file/d/1sQFNU5Q58YRMcaReu38rQKfi9LzSO1Cl/view?usp=drivesdk</x:v>
      </x:c>
      <x:c r="L93" s="4" t="str">
        <x:v>https://drive.google.com/file/d/1woLwuNHB_hbHuY0GPOKyq_KvZ_heXRtb/view?usp=drivesdk</x:v>
      </x:c>
      <x:c r="M93" s="4" t="str">
        <x:v>https://drive.google.com/file/d/1Ve_cs8jCAcCy9Lsx9_J2vUdhKWtgyvYz/view?usp=drivesdk</x:v>
      </x:c>
      <x:c r="N93" s="4" t="str">
        <x:v>https://drive.google.com/file/d/1amjRDLrt0k8xmIUvHnC0P61pjYn70pYn/view?usp=drivesdk</x:v>
      </x:c>
      <x:c r="O93" s="4" t="str">
        <x:v>https://drive.google.com/file/d/1r1aT9wP4LDsjMH7Aw61QLM09nezQIRlx/view?usp=drivesdk</x:v>
      </x:c>
      <x:c r="P93" s="4" t="str">
        <x:v>Versão final da editora, completa, com 12 páginas e licença CC BY 4.0. Volume 267 (2024), artigo 112093; publicação online antecipada em 2/12/2023. Original recebido preservado. Cópias de consulta nas quatro seções.</x:v>
      </x:c>
      <x:c r="Q93" s="4" t="n">
        <x:v>1</x:v>
      </x:c>
      <x:c r="R93" s="4" t="n">
        <x:v>1</x:v>
      </x:c>
      <x:c r="S93" s="4" t="n">
        <x:v>1</x:v>
      </x:c>
      <x:c r="T93" s="4" t="n">
        <x:v>1</x:v>
      </x:c>
    </x:row>
    <x:row r="94" ht="120" customHeight="1">
      <x:c r="A94" s="4" t="str">
        <x:v>A092</x:v>
      </x:c>
      <x:c r="B94" s="4" t="str">
        <x:v>PV Performance Modeling Methods and Practices: Results from the 4th PV Performance Modeling Collaborative Workshop</x:v>
      </x:c>
      <x:c r="C94" s="4" t="str">
        <x:v>Stein, Joshua S.</x:v>
      </x:c>
      <x:c r="D94" s="11" t="n">
        <x:v>2017</x:v>
      </x:c>
      <x:c r="E94" s="10" t="str">
        <x:v>3; 4</x:v>
      </x:c>
      <x:c r="F94" s="4" t="str">
        <x:v>3.1; 3.2; 3.3; 3.4; 3.5; 3.6; 4.1; 4.2; 4.3</x:v>
      </x:c>
      <x:c r="G94" s="4" t="str">
        <x:v>Relatórios e manuais</x:v>
      </x:c>
      <x:c r="H94" s="4" t="str"/>
      <x:c r="I94" s="4" t="str"/>
      <x:c r="J94" s="4" t="str">
        <x:v>A092_Stein_2017_PV_Performance_Modeling_Methods.pdf</x:v>
      </x:c>
      <x:c r="K94" s="4" t="str">
        <x:v>https://iea-pvps.org/wp-content/uploads/2020/01/T13_Report_PV_Performance_Modeling_Methods_and_Practices_FINAL_March_2017.pdf</x:v>
      </x:c>
      <x:c r="L94" s="4" t="str"/>
      <x:c r="M94" s="4" t="str"/>
      <x:c r="N94" s="4" t="str">
        <x:v>https://drive.google.com/file/d/1vFNchntBELashk8zz4Mx_xFA_l4nPOwY/view?usp=drivesdk</x:v>
      </x:c>
      <x:c r="O94" s="4" t="str">
        <x:v>https://drive.google.com/file/d/1X3HVoTtqKhicHwkLGa_RbJwU0uEfJ2Mv/view?usp=drivesdk</x:v>
      </x:c>
      <x:c r="P94" s="4" t="str">
        <x:v>Relatório oficial integral, 98 páginas de PDF. Apoio à modelagem e avaliação de desempenho; complemento técnico às alternativas de B19 e B20. DOI não identificado. Não corresponde a uma edição dos livros indicados.</x:v>
      </x:c>
      <x:c r="Q94" s="4" t="n">
        <x:v>0</x:v>
      </x:c>
      <x:c r="R94" s="4" t="n">
        <x:v>0</x:v>
      </x:c>
      <x:c r="S94" s="4" t="n">
        <x:v>1</x:v>
      </x:c>
      <x:c r="T94" s="4" t="n">
        <x:v>1</x:v>
      </x:c>
    </x:row>
    <x:row r="95" ht="120" customHeight="1">
      <x:c r="A95" s="4" t="str">
        <x:v>A093</x:v>
      </x:c>
      <x:c r="B95" s="4" t="str">
        <x:v>Guidelines for Operation and Maintenance of Photovoltaic Power Plants in Different Climates</x:v>
      </x:c>
      <x:c r="C95" s="4" t="str">
        <x:v>Jahn, Ulrike et al.</x:v>
      </x:c>
      <x:c r="D95" s="11" t="n">
        <x:v>2022</x:v>
      </x:c>
      <x:c r="E95" s="10" t="str">
        <x:v>2; 4</x:v>
      </x:c>
      <x:c r="F95" s="4" t="str">
        <x:v>2.1; 2.2; 2.4; 4.1; 4.2; 4.3</x:v>
      </x:c>
      <x:c r="G95" s="4" t="str">
        <x:v>Relatórios e manuais</x:v>
      </x:c>
      <x:c r="H95" s="4" t="str"/>
      <x:c r="I95" s="4" t="str"/>
      <x:c r="J95" s="4" t="str">
        <x:v>A093_Jahn_2022_Operation_Maintenance_Different_Climates.pdf</x:v>
      </x:c>
      <x:c r="K95" s="4" t="str">
        <x:v>https://iea-pvps.org/wp-content/uploads/2022/11/IEA-PVPS-Report-T13-25-2022-OandM-Guidelines.pdf</x:v>
      </x:c>
      <x:c r="L95" s="4" t="str"/>
      <x:c r="M95" s="4" t="str">
        <x:v>https://drive.google.com/file/d/16AHJZPt_QOc3soTmGzBwvPnKqeO9jQ5d/view?usp=drivesdk</x:v>
      </x:c>
      <x:c r="N95" s="4" t="str"/>
      <x:c r="O95" s="4" t="str">
        <x:v>https://drive.google.com/file/d/1JkV1fvnGZ0aySPwWkC8aCKx1ECzP4qGN/view?usp=drivesdk</x:v>
      </x:c>
      <x:c r="P95" s="4" t="str">
        <x:v>Relatório oficial integral, 152 páginas de PDF. Apoio técnico a monitoramento, indicadores e influência do clima. DOI não identificado. Não substitui os requisitos normativos da IEC 61724-1:2021, que continua pendente.</x:v>
      </x:c>
      <x:c r="Q95" s="4" t="n">
        <x:v>0</x:v>
      </x:c>
      <x:c r="R95" s="4" t="n">
        <x:v>1</x:v>
      </x:c>
      <x:c r="S95" s="4" t="n">
        <x:v>0</x:v>
      </x:c>
      <x:c r="T95" s="4" t="n">
        <x:v>1</x:v>
      </x:c>
    </x:row>
  </x:sheetData>
  <x:mergeCells>
    <x:mergeCell ref="B2:T2"/>
    <x:mergeCell ref="B3:T3"/>
  </x:mergeCells>
  <x:pageMargins left="0.7" right="0.7" top="0.75" bottom="0.75" header="0.3" footer="0.3"/>
  <x:tableParts count="1">
    <x:tablePart xmlns:r="http://schemas.openxmlformats.org/officeDocument/2006/relationships" r:id="R17d8e775cb174639"/>
  </x:tableParts>
</x:worksheet>
</file>